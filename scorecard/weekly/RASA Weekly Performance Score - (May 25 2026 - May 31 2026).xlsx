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tc={2f7f8f23-4427-47ac-b2da-62dcbbda965e}</author>
    <author>tc={327d0cb7-7f4e-4304-99be-4eea8cf49fc2}</author>
  </authors>
  <commentList>
    <comment authorId="0" xr:uid="{2f7f8f23-4427-47ac-b2da-62dcbbda965e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  <comment authorId="1" xr:uid="{327d0cb7-7f4e-4304-99be-4eea8cf49fc2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tc={c81b532e-ac63-40c2-aa8b-4285b15cd96a}</author>
  </authors>
  <commentList>
    <comment authorId="0" xr:uid="{c81b532e-ac63-40c2-aa8b-4285b15cd96a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tc={0c24c12a-867f-40d1-86e2-ae361fa4eb44}</author>
    <author>tc={310dc3cc-c756-40d4-8cb6-ca3a969fd1cc}</author>
    <author>tc={4ed2a027-b759-4173-9fc1-267ea5f48168}</author>
    <author>tc={583ff31e-94cc-4b15-ae1f-c0c86399aab1}</author>
    <author>tc={5ba22620-7042-4cfb-8497-a85088a4094d}</author>
    <author>tc={9c2260e1-a154-4e5b-b558-b2abfef646ed}</author>
    <author>tc={a04c831f-983d-4769-856b-87f4f8e52ad6}</author>
    <author>tc={ab1c774a-ed80-434e-b7a2-9f655470056a}</author>
    <author>tc={c8f0c1ac-ffe9-416f-94e9-a19aea05035b}</author>
  </authors>
  <commentList>
    <comment authorId="0" xr:uid="{0c24c12a-867f-40d1-86e2-ae361fa4eb44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1" xr:uid="{310dc3cc-c756-40d4-8cb6-ca3a969fd1cc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2" xr:uid="{4ed2a027-b759-4173-9fc1-267ea5f48168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3" xr:uid="{583ff31e-94cc-4b15-ae1f-c0c86399aab1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4" xr:uid="{5ba22620-7042-4cfb-8497-a85088a4094d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5" xr:uid="{9c2260e1-a154-4e5b-b558-b2abfef646ed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6" xr:uid="{a04c831f-983d-4769-856b-87f4f8e52ad6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7" xr:uid="{ab1c774a-ed80-434e-b7a2-9f655470056a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8" xr:uid="{c8f0c1ac-ffe9-416f-94e9-a19aea05035b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</commentList>
</comments>
</file>

<file path=xl/sharedStrings.xml><?xml version="1.0" encoding="utf-8"?>
<sst xmlns="http://schemas.openxmlformats.org/spreadsheetml/2006/main" count="1113" uniqueCount="219">
  <si>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</si>
  <si>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</si>
  <si>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</si>
  <si>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</si>
  <si>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</si>
  <si>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</si>
  <si>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</si>
  <si>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</si>
  <si>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5 (STAR)</t>
  </si>
  <si>
    <t>Sales</t>
  </si>
  <si>
    <t>Sales vs Budget (%)</t>
  </si>
  <si>
    <t>&lt;90%</t>
  </si>
  <si>
    <t>90-94.9%</t>
  </si>
  <si>
    <t>95–98.9%</t>
  </si>
  <si>
    <t>99–101.9%</t>
  </si>
  <si>
    <t>102–104.9%</t>
  </si>
  <si>
    <t>&gt;105%</t>
  </si>
  <si>
    <t>Sales vs Prior Year (%)</t>
  </si>
  <si>
    <t>&lt;-5%</t>
  </si>
  <si>
    <t>-5-0%</t>
  </si>
  <si>
    <t>0.1-4.9%</t>
  </si>
  <si>
    <t>5-7.4%</t>
  </si>
  <si>
    <t>7.5-14.9%</t>
  </si>
  <si>
    <t>≥15%</t>
  </si>
  <si>
    <t>EBITDA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</si>
  <si>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</si>
  <si>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</si>
  <si>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</si>
  <si>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</si>
  <si>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</si>
  <si>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</si>
  <si>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</si>
  <si>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</si>
  <si>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Labor vs Budget Variance (pts)</t>
  </si>
  <si>
    <t>≥+3.0</t>
  </si>
  <si>
    <t>+2.0–2.99</t>
  </si>
  <si>
    <t>+1.0–1.99</t>
  </si>
  <si>
    <t>0.0–0.99</t>
  </si>
  <si>
    <t>-0.5– -0.99</t>
  </si>
  <si>
    <t>≤-1.0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</si>
  <si>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</si>
  <si>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COGS vs Budget Variance (pts)</t>
  </si>
  <si>
    <t>-0.5–-0.99</t>
  </si>
  <si>
    <t>Operational</t>
  </si>
  <si>
    <t>Google Rating</t>
  </si>
  <si>
    <t>&lt;3.8</t>
  </si>
  <si>
    <t>&lt;4.0</t>
  </si>
  <si>
    <t>4.0–4.29</t>
  </si>
  <si>
    <t>4.3–4.49</t>
  </si>
  <si>
    <t>4.5–4.69</t>
  </si>
  <si>
    <t>≥4.7</t>
  </si>
  <si>
    <t>Yelp Rating</t>
  </si>
  <si>
    <t>3P Error Rate (%)</t>
  </si>
  <si>
    <t>&gt;6%</t>
  </si>
  <si>
    <t>4.01–6%</t>
  </si>
  <si>
    <t>2.01–4%</t>
  </si>
  <si>
    <t>1.51–2%</t>
  </si>
  <si>
    <t>1.01–1.5%</t>
  </si>
  <si>
    <t>≤1%</t>
  </si>
  <si>
    <t>Avoidable Wait (mins)</t>
  </si>
  <si>
    <t>&gt;8</t>
  </si>
  <si>
    <t>&gt;5–8</t>
  </si>
  <si>
    <t>&gt;2–5</t>
  </si>
  <si>
    <t>≤2 &amp; &gt;1.5</t>
  </si>
  <si>
    <t>≤1.5 &amp; &gt;1</t>
  </si>
  <si>
    <t>≤1</t>
  </si>
  <si>
    <t>3P Rating</t>
  </si>
  <si>
    <t>Full Audit Score</t>
  </si>
  <si>
    <t>&lt;70</t>
  </si>
  <si>
    <t>70–74</t>
  </si>
  <si>
    <t>75–82</t>
  </si>
  <si>
    <t>83–88</t>
  </si>
  <si>
    <t>89–93</t>
  </si>
  <si>
    <t>≥94</t>
  </si>
  <si>
    <t>Culinary Audit Score</t>
  </si>
  <si>
    <t>Eligibility</t>
  </si>
  <si>
    <t>Training Completion % (Gate)</t>
  </si>
  <si>
    <t>&lt;87%</t>
  </si>
  <si>
    <t>≥87%</t>
  </si>
  <si>
    <t>RASA · Store Scoring Matrix - Weekly</t>
  </si>
  <si>
    <t>Performance Rating Key</t>
  </si>
  <si>
    <t>Performance</t>
  </si>
  <si>
    <t>Score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</si>
  <si>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</si>
  <si>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</si>
  <si>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</si>
  <si>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</si>
  <si>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</si>
  <si>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</si>
  <si>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</si>
  <si>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</si>
  <si>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</si>
  <si>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</si>
  <si>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</si>
  <si>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</si>
  <si>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&lt;−5%</t>
  </si>
  <si>
    <t>−5% to 0%</t>
  </si>
  <si>
    <t>0.1–4.9%</t>
  </si>
  <si>
    <t>5–7.4%</t>
  </si>
  <si>
    <t>7.5–14.9%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</si>
  <si>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</si>
  <si>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</si>
  <si>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</si>
  <si>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</si>
  <si>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</si>
  <si>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</si>
  <si>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</si>
  <si>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</si>
  <si>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</si>
  <si>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</si>
  <si>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</si>
  <si>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</si>
  <si>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3.8–3.99</t>
  </si>
  <si>
    <t>&gt;5 to 8</t>
  </si>
  <si>
    <t>&gt;2 to 5</t>
  </si>
  <si>
    <t>&gt;1.5 to 2</t>
  </si>
  <si>
    <t>&gt;1 to 1.5</t>
  </si>
  <si>
    <t>Total Weight (scored metrics only)</t>
  </si>
  <si>
    <t>RASA · Period Scoring Matrix</t>
  </si>
  <si>
    <t>75–84%</t>
  </si>
  <si>
    <t>85–94%</t>
  </si>
  <si>
    <t>95–100%</t>
  </si>
  <si>
    <t>101–105%</t>
  </si>
  <si>
    <t>&lt;87% = Ineligible</t>
  </si>
  <si>
    <t>≥87% = Eligible</t>
  </si>
  <si>
    <t>RASA · Quaterly Scoring Matrix</t>
  </si>
  <si>
    <t>Location</t>
  </si>
  <si>
    <t xml:space="preserve">In-Store Rating </t>
  </si>
  <si>
    <t>Composite
Score (0–5)</t>
  </si>
  <si>
    <t>Input</t>
  </si>
  <si>
    <t>Weighted</t>
  </si>
  <si>
    <t>Ballpark</t>
  </si>
  <si>
    <t>Mosaic</t>
  </si>
  <si>
    <t>MVT</t>
  </si>
  <si>
    <t>National Landing</t>
  </si>
  <si>
    <t>Rockville</t>
  </si>
  <si>
    <t>All Stores</t>
  </si>
  <si>
    <t>Weight</t>
  </si>
  <si>
    <t xml:space="preserve">
</t>
  </si>
  <si>
    <t>Restaurant</t>
  </si>
  <si>
    <t>Composite Score</t>
  </si>
  <si>
    <t>Contributor Band</t>
  </si>
  <si>
    <t>3P Error %</t>
  </si>
  <si>
    <t>Labor Var (pts)</t>
  </si>
  <si>
    <t>COGS Var (pts)</t>
  </si>
  <si>
    <t>Focus Audit Score</t>
  </si>
  <si>
    <t>Training % (Gate)</t>
  </si>
  <si>
    <t>Composite Score (0-5)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</si>
  <si>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</si>
  <si>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</si>
  <si>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</si>
  <si>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</si>
  <si>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</si>
  <si>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</si>
  <si>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In-Store Rating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</si>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</sst>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#,##0.0"/>
    <numFmt numFmtId="167" formatCode="$#,##0"/>
    <numFmt numFmtId="168" formatCode="0.0%;(0.0%)"/>
    <numFmt numFmtId="169" formatCode="0.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sz val="11.0"/>
      <color theme="1"/>
      <name val="Montserrat"/>
    </font>
    <font>
      <b/>
      <sz val="13.0"/>
      <color rgb="FFFFFFFF"/>
      <name val="Montserrat"/>
    </font>
    <font/>
    <font>
      <b/>
      <sz val="11.0"/>
      <color rgb="FFFFFFFF"/>
      <name val="Arial"/>
    </font>
    <font>
      <b/>
      <sz val="11.0"/>
      <color theme="1"/>
      <name val="Arial"/>
    </font>
    <font>
      <b/>
      <color rgb="FF1A1A1A"/>
      <name val="Montserrat"/>
    </font>
    <font>
      <b/>
      <sz val="9.0"/>
      <color rgb="FF2C2C2C"/>
      <name val="Montserrat"/>
    </font>
    <font>
      <sz val="11.0"/>
      <color theme="1"/>
      <name val="Arial"/>
    </font>
    <font>
      <color rgb="FF1A1A1A"/>
      <name val="Montserrat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sz val="10.0"/>
      <color rgb="FF1A1A1A"/>
      <name val="Montserrat"/>
    </font>
    <font>
      <sz val="10.0"/>
      <color theme="1"/>
      <name val="Montserrat"/>
    </font>
    <font>
      <b/>
      <sz val="11.0"/>
      <color rgb="FF000000"/>
      <name val="Montserrat"/>
    </font>
    <font>
      <color theme="1"/>
      <name val="Arial"/>
      <scheme val="minor"/>
    </font>
    <font>
      <b/>
      <color theme="1"/>
      <name val="Montserrat"/>
    </font>
    <font>
      <b/>
      <sz val="11.0"/>
      <color rgb="FFFFFFFF"/>
      <name val="Montserrat"/>
    </font>
    <font>
      <b/>
      <color rgb="FF000000"/>
      <name val="Montserrat"/>
    </font>
    <font>
      <b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b/>
      <sz val="9.0"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3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  <fill>
      <patternFill patternType="solid">
        <fgColor rgb="FFD4E6F1"/>
        <bgColor rgb="FFD4E6F1"/>
      </patternFill>
    </fill>
    <fill>
      <patternFill patternType="solid">
        <fgColor rgb="FFDDE1E7"/>
        <bgColor rgb="FFDDE1E7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33A854"/>
        <bgColor rgb="FF33A854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DEBD0"/>
        <bgColor rgb="FFFDEBD0"/>
      </patternFill>
    </fill>
    <fill>
      <patternFill patternType="solid">
        <fgColor rgb="FFFF5C5F"/>
        <bgColor rgb="FFFF5C5F"/>
      </patternFill>
    </fill>
    <fill>
      <patternFill patternType="solid">
        <fgColor rgb="FFEAF2FF"/>
        <bgColor rgb="FFEAF2FF"/>
      </patternFill>
    </fill>
    <fill>
      <patternFill patternType="solid">
        <fgColor rgb="FFF5F6FA"/>
        <bgColor rgb="FFF5F6FA"/>
      </patternFill>
    </fill>
    <fill>
      <patternFill patternType="solid">
        <fgColor rgb="FFF2F3F4"/>
        <bgColor rgb="FFF2F3F4"/>
      </patternFill>
    </fill>
    <fill>
      <patternFill patternType="solid">
        <fgColor rgb="FFFAD7D3"/>
        <bgColor rgb="FFFAD7D3"/>
      </patternFill>
    </fill>
    <fill>
      <patternFill patternType="solid">
        <fgColor rgb="FF1F2D3D"/>
        <bgColor rgb="FF1F2D3D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/>
      <right/>
      <top/>
      <bottom/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8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0" fillId="0" fontId="3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 shrinkToFit="0" wrapText="0"/>
    </xf>
    <xf borderId="1" fillId="7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2" numFmtId="2" xfId="0" applyFont="1" applyNumberFormat="1"/>
    <xf borderId="0" fillId="0" fontId="2" numFmtId="165" xfId="0" applyFont="1" applyNumberFormat="1"/>
    <xf borderId="0" fillId="0" fontId="2" numFmtId="4" xfId="0" applyFont="1" applyNumberFormat="1"/>
    <xf borderId="2" fillId="9" fontId="4" numFmtId="0" xfId="0" applyAlignment="1" applyBorder="1" applyFill="1" applyFont="1">
      <alignment horizontal="center" readingOrder="0" shrinkToFit="0" wrapText="0"/>
    </xf>
    <xf borderId="3" fillId="0" fontId="5" numFmtId="0" xfId="0" applyBorder="1" applyFont="1"/>
    <xf borderId="4" fillId="9" fontId="6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0" fillId="0" fontId="2" numFmtId="166" xfId="0" applyFont="1" applyNumberFormat="1"/>
    <xf borderId="0" fillId="0" fontId="2" numFmtId="0" xfId="0" applyFont="1"/>
    <xf borderId="0" fillId="0" fontId="2" numFmtId="9" xfId="0" applyFont="1" applyNumberFormat="1"/>
    <xf borderId="0" fillId="0" fontId="2" numFmtId="167" xfId="0" applyFont="1" applyNumberFormat="1"/>
    <xf borderId="7" fillId="9" fontId="1" numFmtId="0" xfId="0" applyAlignment="1" applyBorder="1" applyFont="1">
      <alignment horizontal="center" readingOrder="0"/>
    </xf>
    <xf borderId="7" fillId="9" fontId="1" numFmtId="164" xfId="0" applyAlignment="1" applyBorder="1" applyFont="1" applyNumberFormat="1">
      <alignment horizontal="center" readingOrder="0"/>
    </xf>
    <xf borderId="8" fillId="10" fontId="7" numFmtId="0" xfId="0" applyAlignment="1" applyBorder="1" applyFill="1" applyFont="1">
      <alignment horizontal="center"/>
    </xf>
    <xf borderId="9" fillId="11" fontId="8" numFmtId="0" xfId="0" applyAlignment="1" applyBorder="1" applyFill="1" applyFont="1">
      <alignment horizontal="center" readingOrder="0" shrinkToFit="0" wrapText="0"/>
    </xf>
    <xf borderId="9" fillId="11" fontId="8" numFmtId="0" xfId="0" applyAlignment="1" applyBorder="1" applyFont="1">
      <alignment horizontal="left" readingOrder="0" shrinkToFit="0" wrapText="0"/>
    </xf>
    <xf borderId="9" fillId="12" fontId="8" numFmtId="164" xfId="0" applyAlignment="1" applyBorder="1" applyFill="1" applyFont="1" applyNumberFormat="1">
      <alignment horizontal="center" readingOrder="0" shrinkToFit="0" wrapText="0"/>
    </xf>
    <xf borderId="9" fillId="13" fontId="9" numFmtId="2" xfId="0" applyAlignment="1" applyBorder="1" applyFill="1" applyFont="1" applyNumberFormat="1">
      <alignment horizontal="center" readingOrder="0"/>
    </xf>
    <xf borderId="9" fillId="14" fontId="9" numFmtId="0" xfId="0" applyAlignment="1" applyBorder="1" applyFill="1" applyFont="1">
      <alignment horizontal="center" readingOrder="0"/>
    </xf>
    <xf borderId="9" fillId="15" fontId="9" numFmtId="0" xfId="0" applyAlignment="1" applyBorder="1" applyFill="1" applyFont="1">
      <alignment horizontal="center" readingOrder="0"/>
    </xf>
    <xf borderId="9" fillId="16" fontId="9" numFmtId="2" xfId="0" applyAlignment="1" applyBorder="1" applyFill="1" applyFont="1" applyNumberFormat="1">
      <alignment horizontal="center" readingOrder="0"/>
    </xf>
    <xf borderId="9" fillId="17" fontId="9" numFmtId="0" xfId="0" applyAlignment="1" applyBorder="1" applyFill="1" applyFont="1">
      <alignment horizontal="center" readingOrder="0"/>
    </xf>
    <xf borderId="9" fillId="18" fontId="9" numFmtId="0" xfId="0" applyAlignment="1" applyBorder="1" applyFill="1" applyFont="1">
      <alignment horizontal="center" readingOrder="0"/>
    </xf>
    <xf borderId="8" fillId="19" fontId="3" numFmtId="0" xfId="0" applyAlignment="1" applyBorder="1" applyFill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0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9" fillId="21" fontId="12" numFmtId="0" xfId="0" applyAlignment="1" applyBorder="1" applyFill="1" applyFont="1">
      <alignment horizontal="left" readingOrder="0" shrinkToFit="0" wrapText="0"/>
    </xf>
    <xf borderId="9" fillId="21" fontId="11" numFmtId="164" xfId="0" applyAlignment="1" applyBorder="1" applyFont="1" applyNumberFormat="1">
      <alignment horizontal="center" shrinkToFit="0" wrapText="0"/>
    </xf>
    <xf borderId="9" fillId="21" fontId="13" numFmtId="2" xfId="0" applyAlignment="1" applyBorder="1" applyFont="1" applyNumberFormat="1">
      <alignment horizontal="center" readingOrder="0" shrinkToFit="0" wrapText="0"/>
    </xf>
    <xf borderId="9" fillId="21" fontId="13" numFmtId="0" xfId="0" applyAlignment="1" applyBorder="1" applyFont="1">
      <alignment horizontal="center" readingOrder="0" shrinkToFit="0" wrapText="0"/>
    </xf>
    <xf borderId="8" fillId="22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8" fillId="23" fontId="10" numFmtId="165" xfId="0" applyAlignment="1" applyBorder="1" applyFill="1" applyFont="1" applyNumberFormat="1">
      <alignment vertical="bottom"/>
    </xf>
    <xf borderId="8" fillId="19" fontId="3" numFmtId="0" xfId="0" applyAlignment="1" applyBorder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4" fontId="10" numFmtId="0" xfId="0" applyAlignment="1" applyBorder="1" applyFill="1" applyFont="1">
      <alignment vertical="bottom"/>
    </xf>
    <xf borderId="9" fillId="25" fontId="8" numFmtId="0" xfId="0" applyAlignment="1" applyBorder="1" applyFill="1" applyFont="1">
      <alignment horizontal="center" readingOrder="0" shrinkToFit="0" wrapText="0"/>
    </xf>
    <xf borderId="9" fillId="25" fontId="8" numFmtId="0" xfId="0" applyAlignment="1" applyBorder="1" applyFont="1">
      <alignment horizontal="left" readingOrder="0" shrinkToFit="0" wrapText="0"/>
    </xf>
    <xf borderId="9" fillId="13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 readingOrder="0"/>
    </xf>
    <xf borderId="8" fillId="26" fontId="10" numFmtId="0" xfId="0" applyAlignment="1" applyBorder="1" applyFill="1" applyFont="1">
      <alignment vertical="bottom"/>
    </xf>
    <xf borderId="9" fillId="25" fontId="11" numFmtId="0" xfId="0" applyAlignment="1" applyBorder="1" applyFont="1">
      <alignment horizontal="center" shrinkToFit="0" wrapText="0"/>
    </xf>
    <xf borderId="9" fillId="21" fontId="11" numFmtId="164" xfId="0" applyAlignment="1" applyBorder="1" applyFont="1" applyNumberFormat="1">
      <alignment horizontal="center" readingOrder="0" shrinkToFit="0" wrapText="0"/>
    </xf>
    <xf borderId="9" fillId="27" fontId="8" numFmtId="0" xfId="0" applyAlignment="1" applyBorder="1" applyFill="1" applyFont="1">
      <alignment horizontal="center" readingOrder="0" shrinkToFit="0" wrapText="0"/>
    </xf>
    <xf borderId="9" fillId="27" fontId="8" numFmtId="0" xfId="0" applyAlignment="1" applyBorder="1" applyFont="1">
      <alignment horizontal="left" readingOrder="0" shrinkToFit="0" wrapText="0"/>
    </xf>
    <xf borderId="9" fillId="27" fontId="11" numFmtId="0" xfId="0" applyAlignment="1" applyBorder="1" applyFont="1">
      <alignment horizontal="center" shrinkToFit="0" wrapText="0"/>
    </xf>
    <xf borderId="9" fillId="27" fontId="11" numFmtId="0" xfId="0" applyAlignment="1" applyBorder="1" applyFont="1">
      <alignment horizontal="center" shrinkToFit="0" wrapText="0"/>
    </xf>
    <xf borderId="2" fillId="9" fontId="1" numFmtId="0" xfId="0" applyAlignment="1" applyBorder="1" applyFont="1">
      <alignment horizontal="right" readingOrder="0" shrinkToFit="0" wrapText="0"/>
    </xf>
    <xf borderId="7" fillId="9" fontId="1" numFmtId="164" xfId="0" applyAlignment="1" applyBorder="1" applyFont="1" applyNumberFormat="1">
      <alignment horizontal="center" readingOrder="0" shrinkToFit="0" wrapText="0"/>
    </xf>
    <xf borderId="7" fillId="9" fontId="11" numFmtId="0" xfId="0" applyAlignment="1" applyBorder="1" applyFont="1">
      <alignment horizontal="center" shrinkToFit="0" wrapText="0"/>
    </xf>
    <xf borderId="2" fillId="28" fontId="14" numFmtId="0" xfId="0" applyAlignment="1" applyBorder="1" applyFill="1" applyFont="1">
      <alignment horizontal="left" readingOrder="0" shrinkToFit="0" wrapText="0"/>
    </xf>
    <xf borderId="9" fillId="11" fontId="11" numFmtId="0" xfId="0" applyAlignment="1" applyBorder="1" applyFont="1">
      <alignment horizontal="center" shrinkToFit="0" wrapText="0"/>
    </xf>
    <xf borderId="9" fillId="16" fontId="8" numFmtId="0" xfId="0" applyAlignment="1" applyBorder="1" applyFont="1">
      <alignment horizontal="center" readingOrder="0" shrinkToFit="0" wrapText="0"/>
    </xf>
    <xf borderId="9" fillId="16" fontId="8" numFmtId="0" xfId="0" applyAlignment="1" applyBorder="1" applyFont="1">
      <alignment horizontal="left" readingOrder="0" shrinkToFit="0" wrapText="0"/>
    </xf>
    <xf borderId="9" fillId="16" fontId="11" numFmtId="0" xfId="0" applyAlignment="1" applyBorder="1" applyFont="1">
      <alignment horizontal="center" shrinkToFit="0" wrapText="0"/>
    </xf>
    <xf borderId="9" fillId="25" fontId="11" numFmtId="0" xfId="0" applyAlignment="1" applyBorder="1" applyFont="1">
      <alignment horizontal="center" shrinkToFit="0" wrapText="0"/>
    </xf>
    <xf borderId="9" fillId="29" fontId="8" numFmtId="0" xfId="0" applyAlignment="1" applyBorder="1" applyFill="1" applyFont="1">
      <alignment horizontal="center" readingOrder="0" shrinkToFit="0" wrapText="0"/>
    </xf>
    <xf borderId="9" fillId="29" fontId="8" numFmtId="0" xfId="0" applyAlignment="1" applyBorder="1" applyFont="1">
      <alignment horizontal="left" readingOrder="0" shrinkToFit="0" wrapText="0"/>
    </xf>
    <xf borderId="9" fillId="30" fontId="9" numFmtId="0" xfId="0" applyAlignment="1" applyBorder="1" applyFill="1" applyFont="1">
      <alignment horizontal="center"/>
    </xf>
    <xf borderId="9" fillId="30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/>
    </xf>
    <xf borderId="9" fillId="29" fontId="11" numFmtId="0" xfId="0" applyAlignment="1" applyBorder="1" applyFont="1">
      <alignment horizontal="center" shrinkToFit="0" wrapText="0"/>
    </xf>
    <xf borderId="9" fillId="21" fontId="13" numFmtId="0" xfId="0" applyAlignment="1" applyBorder="1" applyFont="1">
      <alignment horizontal="center" shrinkToFit="0" wrapText="0"/>
    </xf>
    <xf borderId="10" fillId="31" fontId="15" numFmtId="0" xfId="0" applyAlignment="1" applyBorder="1" applyFill="1" applyFont="1">
      <alignment horizontal="center" shrinkToFit="0" vertical="center" wrapText="0"/>
    </xf>
    <xf borderId="11" fillId="11" fontId="16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Border="1" applyFont="1"/>
    <xf borderId="14" fillId="25" fontId="16" numFmtId="0" xfId="0" applyAlignment="1" applyBorder="1" applyFont="1">
      <alignment horizontal="center" shrinkToFit="0" vertical="center" wrapText="1"/>
    </xf>
    <xf borderId="11" fillId="25" fontId="16" numFmtId="0" xfId="0" applyAlignment="1" applyBorder="1" applyFont="1">
      <alignment horizontal="center" shrinkToFit="0" vertical="center" wrapText="1"/>
    </xf>
    <xf borderId="11" fillId="27" fontId="16" numFmtId="0" xfId="0" applyAlignment="1" applyBorder="1" applyFont="1">
      <alignment horizontal="center" readingOrder="0" shrinkToFit="0" vertical="center" wrapText="1"/>
    </xf>
    <xf borderId="11" fillId="27" fontId="16" numFmtId="0" xfId="0" applyAlignment="1" applyBorder="1" applyFont="1">
      <alignment horizontal="center" shrinkToFit="0" vertical="center" wrapText="1"/>
    </xf>
    <xf borderId="15" fillId="31" fontId="15" numFmtId="0" xfId="0" applyAlignment="1" applyBorder="1" applyFont="1">
      <alignment horizontal="center" shrinkToFit="0" vertical="center" wrapText="1"/>
    </xf>
    <xf borderId="16" fillId="12" fontId="17" numFmtId="0" xfId="0" applyAlignment="1" applyBorder="1" applyFont="1">
      <alignment horizontal="center" shrinkToFit="0" vertical="center" wrapText="0"/>
    </xf>
    <xf borderId="8" fillId="32" fontId="16" numFmtId="0" xfId="0" applyAlignment="1" applyBorder="1" applyFill="1" applyFont="1">
      <alignment horizontal="center" shrinkToFit="0" vertical="center" wrapText="0"/>
    </xf>
    <xf borderId="8" fillId="33" fontId="16" numFmtId="0" xfId="0" applyAlignment="1" applyBorder="1" applyFill="1" applyFont="1">
      <alignment horizontal="center" shrinkToFit="0" vertical="center" wrapText="0"/>
    </xf>
    <xf borderId="8" fillId="15" fontId="16" numFmtId="0" xfId="0" applyAlignment="1" applyBorder="1" applyFont="1">
      <alignment horizontal="center" shrinkToFit="0" vertical="center" wrapText="0"/>
    </xf>
    <xf borderId="8" fillId="12" fontId="17" numFmtId="0" xfId="0" applyAlignment="1" applyBorder="1" applyFont="1">
      <alignment horizontal="center" shrinkToFit="0" vertical="center" wrapText="0"/>
    </xf>
    <xf borderId="16" fillId="28" fontId="16" numFmtId="0" xfId="0" applyAlignment="1" applyBorder="1" applyFont="1">
      <alignment horizontal="left" shrinkToFit="0" vertical="center" wrapText="0"/>
    </xf>
    <xf borderId="17" fillId="26" fontId="18" numFmtId="168" xfId="0" applyAlignment="1" applyBorder="1" applyFont="1" applyNumberFormat="1">
      <alignment horizontal="center" vertical="bottom"/>
    </xf>
    <xf borderId="8" fillId="34" fontId="3" numFmtId="2" xfId="0" applyAlignment="1" applyBorder="1" applyFill="1" applyFont="1" applyNumberFormat="1">
      <alignment horizontal="center" vertical="center"/>
    </xf>
    <xf borderId="0" fillId="15" fontId="17" numFmtId="2" xfId="0" applyAlignment="1" applyFont="1" applyNumberFormat="1">
      <alignment horizontal="center" shrinkToFit="0" vertical="center" wrapText="0"/>
    </xf>
    <xf borderId="18" fillId="15" fontId="17" numFmtId="2" xfId="0" applyAlignment="1" applyBorder="1" applyFont="1" applyNumberFormat="1">
      <alignment horizontal="center" shrinkToFit="0" vertical="center" wrapText="0"/>
    </xf>
    <xf borderId="0" fillId="35" fontId="18" numFmtId="165" xfId="0" applyAlignment="1" applyFill="1" applyFont="1" applyNumberFormat="1">
      <alignment horizontal="center" vertical="bottom"/>
    </xf>
    <xf borderId="17" fillId="22" fontId="18" numFmtId="165" xfId="0" applyAlignment="1" applyBorder="1" applyFont="1" applyNumberFormat="1">
      <alignment horizontal="center" vertical="bottom"/>
    </xf>
    <xf borderId="17" fillId="26" fontId="18" numFmtId="165" xfId="0" applyAlignment="1" applyBorder="1" applyFont="1" applyNumberFormat="1">
      <alignment horizontal="center" vertical="bottom"/>
    </xf>
    <xf borderId="17" fillId="23" fontId="18" numFmtId="169" xfId="0" applyAlignment="1" applyBorder="1" applyFont="1" applyNumberFormat="1">
      <alignment horizontal="center" vertical="bottom"/>
    </xf>
    <xf borderId="17" fillId="24" fontId="18" numFmtId="164" xfId="0" applyAlignment="1" applyBorder="1" applyFont="1" applyNumberFormat="1">
      <alignment horizontal="center" vertical="bottom"/>
    </xf>
    <xf borderId="17" fillId="23" fontId="18" numFmtId="4" xfId="0" applyAlignment="1" applyBorder="1" applyFont="1" applyNumberFormat="1">
      <alignment horizontal="center" vertical="bottom"/>
    </xf>
    <xf borderId="17" fillId="23" fontId="18" numFmtId="166" xfId="0" applyAlignment="1" applyBorder="1" applyFont="1" applyNumberFormat="1">
      <alignment horizontal="center" vertical="bottom"/>
    </xf>
    <xf borderId="17" fillId="20" fontId="18" numFmtId="168" xfId="0" applyAlignment="1" applyBorder="1" applyFont="1" applyNumberFormat="1">
      <alignment horizontal="center" vertical="bottom"/>
    </xf>
    <xf borderId="17" fillId="20" fontId="18" numFmtId="165" xfId="0" applyAlignment="1" applyBorder="1" applyFont="1" applyNumberFormat="1">
      <alignment horizontal="center" vertical="bottom"/>
    </xf>
    <xf borderId="17" fillId="24" fontId="18" numFmtId="165" xfId="0" applyAlignment="1" applyBorder="1" applyFont="1" applyNumberFormat="1">
      <alignment horizontal="center" vertical="bottom"/>
    </xf>
    <xf borderId="17" fillId="26" fontId="18" numFmtId="169" xfId="0" applyAlignment="1" applyBorder="1" applyFont="1" applyNumberFormat="1">
      <alignment horizontal="center" vertical="bottom"/>
    </xf>
    <xf borderId="17" fillId="20" fontId="18" numFmtId="164" xfId="0" applyAlignment="1" applyBorder="1" applyFont="1" applyNumberFormat="1">
      <alignment horizontal="center" vertical="bottom"/>
    </xf>
    <xf borderId="17" fillId="23" fontId="18" numFmtId="165" xfId="0" applyAlignment="1" applyBorder="1" applyFont="1" applyNumberFormat="1">
      <alignment horizontal="center" vertical="bottom"/>
    </xf>
    <xf borderId="17" fillId="22" fontId="18" numFmtId="4" xfId="0" applyAlignment="1" applyBorder="1" applyFont="1" applyNumberFormat="1">
      <alignment horizontal="center" vertical="bottom"/>
    </xf>
    <xf borderId="17" fillId="22" fontId="18" numFmtId="166" xfId="0" applyAlignment="1" applyBorder="1" applyFont="1" applyNumberFormat="1">
      <alignment horizontal="center" vertical="bottom"/>
    </xf>
    <xf borderId="17" fillId="24" fontId="18" numFmtId="168" xfId="0" applyAlignment="1" applyBorder="1" applyFont="1" applyNumberFormat="1">
      <alignment horizontal="center" vertical="bottom"/>
    </xf>
    <xf borderId="17" fillId="23" fontId="18" numFmtId="164" xfId="0" applyAlignment="1" applyBorder="1" applyFont="1" applyNumberFormat="1">
      <alignment horizontal="center" vertical="bottom"/>
    </xf>
    <xf borderId="17" fillId="20" fontId="18" numFmtId="4" xfId="0" applyAlignment="1" applyBorder="1" applyFont="1" applyNumberFormat="1">
      <alignment horizontal="center" vertical="bottom"/>
    </xf>
    <xf borderId="19" fillId="28" fontId="16" numFmtId="0" xfId="0" applyAlignment="1" applyBorder="1" applyFont="1">
      <alignment horizontal="left" shrinkToFit="0" vertical="center" wrapText="0"/>
    </xf>
    <xf borderId="17" fillId="22" fontId="18" numFmtId="168" xfId="0" applyAlignment="1" applyBorder="1" applyFont="1" applyNumberFormat="1">
      <alignment horizontal="center" vertical="bottom"/>
    </xf>
    <xf borderId="17" fillId="20" fontId="18" numFmtId="169" xfId="0" applyAlignment="1" applyBorder="1" applyFont="1" applyNumberFormat="1">
      <alignment horizontal="center" vertical="bottom"/>
    </xf>
    <xf borderId="8" fillId="34" fontId="3" numFmtId="2" xfId="0" applyAlignment="1" applyBorder="1" applyFont="1" applyNumberFormat="1">
      <alignment horizontal="center" readingOrder="0" vertical="center"/>
    </xf>
    <xf borderId="17" fillId="24" fontId="18" numFmtId="166" xfId="0" applyAlignment="1" applyBorder="1" applyFont="1" applyNumberFormat="1">
      <alignment horizontal="center" vertical="bottom"/>
    </xf>
    <xf borderId="4" fillId="28" fontId="16" numFmtId="0" xfId="0" applyAlignment="1" applyBorder="1" applyFont="1">
      <alignment horizontal="left" readingOrder="0" shrinkToFit="0" vertical="center" wrapText="0"/>
    </xf>
    <xf borderId="4" fillId="26" fontId="18" numFmtId="168" xfId="0" applyAlignment="1" applyBorder="1" applyFont="1" applyNumberFormat="1">
      <alignment horizontal="center" vertical="bottom"/>
    </xf>
    <xf borderId="8" fillId="9" fontId="19" numFmtId="2" xfId="0" applyAlignment="1" applyBorder="1" applyFont="1" applyNumberFormat="1">
      <alignment horizontal="center" vertical="center"/>
    </xf>
    <xf borderId="5" fillId="15" fontId="17" numFmtId="2" xfId="0" applyAlignment="1" applyBorder="1" applyFont="1" applyNumberFormat="1">
      <alignment horizontal="center" shrinkToFit="0" vertical="center" wrapText="0"/>
    </xf>
    <xf borderId="4" fillId="22" fontId="18" numFmtId="168" xfId="0" applyAlignment="1" applyBorder="1" applyFont="1" applyNumberFormat="1">
      <alignment horizontal="center" vertical="bottom"/>
    </xf>
    <xf borderId="6" fillId="15" fontId="17" numFmtId="2" xfId="0" applyAlignment="1" applyBorder="1" applyFont="1" applyNumberFormat="1">
      <alignment horizontal="center" shrinkToFit="0" vertical="center" wrapText="0"/>
    </xf>
    <xf borderId="5" fillId="35" fontId="18" numFmtId="165" xfId="0" applyAlignment="1" applyBorder="1" applyFont="1" applyNumberFormat="1">
      <alignment horizontal="center" vertical="bottom"/>
    </xf>
    <xf borderId="4" fillId="22" fontId="18" numFmtId="165" xfId="0" applyAlignment="1" applyBorder="1" applyFont="1" applyNumberFormat="1">
      <alignment horizontal="center" vertical="bottom"/>
    </xf>
    <xf borderId="4" fillId="24" fontId="18" numFmtId="165" xfId="0" applyAlignment="1" applyBorder="1" applyFont="1" applyNumberFormat="1">
      <alignment horizontal="center" vertical="bottom"/>
    </xf>
    <xf borderId="4" fillId="24" fontId="18" numFmtId="169" xfId="0" applyAlignment="1" applyBorder="1" applyFont="1" applyNumberFormat="1">
      <alignment horizontal="center" vertical="bottom"/>
    </xf>
    <xf borderId="4" fillId="23" fontId="18" numFmtId="164" xfId="0" applyAlignment="1" applyBorder="1" applyFont="1" applyNumberFormat="1">
      <alignment horizontal="center" vertical="bottom"/>
    </xf>
    <xf borderId="4" fillId="22" fontId="18" numFmtId="4" xfId="0" applyAlignment="1" applyBorder="1" applyFont="1" applyNumberFormat="1">
      <alignment horizontal="center" vertical="bottom"/>
    </xf>
    <xf borderId="4" fillId="23" fontId="18" numFmtId="166" xfId="0" applyAlignment="1" applyBorder="1" applyFont="1" applyNumberFormat="1">
      <alignment horizontal="center" vertical="bottom"/>
    </xf>
    <xf borderId="20" fillId="31" fontId="15" numFmtId="164" xfId="0" applyAlignment="1" applyBorder="1" applyFont="1" applyNumberFormat="1">
      <alignment horizontal="right" shrinkToFit="0" vertical="center" wrapText="0"/>
    </xf>
    <xf borderId="21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readingOrder="0" shrinkToFit="0" vertical="center" wrapText="0"/>
    </xf>
    <xf borderId="22" fillId="31" fontId="17" numFmtId="164" xfId="0" applyAlignment="1" applyBorder="1" applyFont="1" applyNumberFormat="1">
      <alignment horizontal="center" shrinkToFit="0" vertical="center" wrapText="0"/>
    </xf>
    <xf borderId="23" fillId="31" fontId="17" numFmtId="164" xfId="0" applyAlignment="1" applyBorder="1" applyFont="1" applyNumberFormat="1">
      <alignment horizontal="center" shrinkToFit="0" vertical="center" wrapText="0"/>
    </xf>
    <xf borderId="24" fillId="31" fontId="17" numFmtId="164" xfId="0" applyAlignment="1" applyBorder="1" applyFont="1" applyNumberFormat="1">
      <alignment horizontal="center" shrinkToFit="0" vertical="center" wrapText="0"/>
    </xf>
    <xf borderId="25" fillId="31" fontId="17" numFmtId="164" xfId="0" applyAlignment="1" applyBorder="1" applyFont="1" applyNumberFormat="1">
      <alignment horizontal="center" shrinkToFit="0" vertical="center" wrapText="0"/>
    </xf>
    <xf borderId="20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shrinkToFit="0" vertical="center" wrapText="0"/>
    </xf>
    <xf borderId="24" fillId="31" fontId="15" numFmtId="164" xfId="0" applyAlignment="1" applyBorder="1" applyFont="1" applyNumberFormat="1">
      <alignment horizontal="center" shrinkToFit="0" vertical="center" wrapText="0"/>
    </xf>
    <xf borderId="0" fillId="0" fontId="18" numFmtId="0" xfId="0" applyFont="1"/>
    <xf borderId="0" fillId="0" fontId="18" numFmtId="0" xfId="0" applyFont="1"/>
    <xf borderId="0" fillId="0" fontId="18" numFmtId="0" xfId="0" applyAlignment="1" applyFont="1">
      <alignment readingOrder="0"/>
    </xf>
    <xf borderId="0" fillId="0" fontId="20" numFmtId="2" xfId="0" applyFont="1" applyNumberFormat="1"/>
    <xf borderId="0" fillId="0" fontId="18" numFmtId="0" xfId="0" applyFont="1"/>
    <xf borderId="8" fillId="9" fontId="1" numFmtId="0" xfId="0" applyAlignment="1" applyBorder="1" applyFont="1">
      <alignment horizontal="center" shrinkToFit="0" vertical="center" wrapText="1"/>
    </xf>
    <xf borderId="8" fillId="9" fontId="1" numFmtId="0" xfId="0" applyAlignment="1" applyBorder="1" applyFont="1">
      <alignment horizontal="center" readingOrder="0" shrinkToFit="0" vertical="center" wrapText="1"/>
    </xf>
    <xf borderId="8" fillId="34" fontId="21" numFmtId="0" xfId="0" applyBorder="1" applyFont="1"/>
    <xf borderId="8" fillId="34" fontId="3" numFmtId="169" xfId="0" applyAlignment="1" applyBorder="1" applyFont="1" applyNumberFormat="1">
      <alignment horizontal="center" vertical="center"/>
    </xf>
    <xf borderId="8" fillId="26" fontId="2" numFmtId="168" xfId="0" applyAlignment="1" applyBorder="1" applyFont="1" applyNumberFormat="1">
      <alignment horizontal="center" vertical="center"/>
    </xf>
    <xf borderId="8" fillId="22" fontId="2" numFmtId="165" xfId="0" applyAlignment="1" applyBorder="1" applyFont="1" applyNumberFormat="1">
      <alignment horizontal="center" vertical="center"/>
    </xf>
    <xf borderId="8" fillId="26" fontId="2" numFmtId="165" xfId="0" applyAlignment="1" applyBorder="1" applyFont="1" applyNumberFormat="1">
      <alignment horizontal="center" vertical="center"/>
    </xf>
    <xf borderId="8" fillId="23" fontId="2" numFmtId="169" xfId="0" applyAlignment="1" applyBorder="1" applyFont="1" applyNumberFormat="1">
      <alignment horizontal="center" vertical="center"/>
    </xf>
    <xf borderId="8" fillId="23" fontId="2" numFmtId="166" xfId="0" applyAlignment="1" applyBorder="1" applyFont="1" applyNumberFormat="1">
      <alignment horizontal="center" vertical="center"/>
    </xf>
    <xf borderId="8" fillId="24" fontId="2" numFmtId="164" xfId="0" applyAlignment="1" applyBorder="1" applyFont="1" applyNumberFormat="1">
      <alignment horizontal="center" vertical="center"/>
    </xf>
    <xf borderId="8" fillId="23" fontId="2" numFmtId="4" xfId="0" applyAlignment="1" applyBorder="1" applyFont="1" applyNumberFormat="1">
      <alignment horizontal="center" vertical="center"/>
    </xf>
    <xf borderId="8" fillId="34" fontId="21" numFmtId="0" xfId="0" applyAlignment="1" applyBorder="1" applyFont="1">
      <alignment readingOrder="0"/>
    </xf>
    <xf borderId="8" fillId="20" fontId="2" numFmtId="168" xfId="0" applyAlignment="1" applyBorder="1" applyFont="1" applyNumberFormat="1">
      <alignment horizontal="center" vertical="center"/>
    </xf>
    <xf borderId="8" fillId="20" fontId="2" numFmtId="165" xfId="0" applyAlignment="1" applyBorder="1" applyFont="1" applyNumberFormat="1">
      <alignment horizontal="center" vertical="center"/>
    </xf>
    <xf borderId="8" fillId="24" fontId="2" numFmtId="165" xfId="0" applyAlignment="1" applyBorder="1" applyFont="1" applyNumberFormat="1">
      <alignment horizontal="center" vertical="center"/>
    </xf>
    <xf borderId="8" fillId="26" fontId="2" numFmtId="169" xfId="0" applyAlignment="1" applyBorder="1" applyFont="1" applyNumberFormat="1">
      <alignment horizontal="center" vertical="center"/>
    </xf>
    <xf borderId="8" fillId="20" fontId="2" numFmtId="164" xfId="0" applyAlignment="1" applyBorder="1" applyFont="1" applyNumberFormat="1">
      <alignment horizontal="center" vertical="center"/>
    </xf>
    <xf borderId="8" fillId="23" fontId="2" numFmtId="165" xfId="0" applyAlignment="1" applyBorder="1" applyFont="1" applyNumberFormat="1">
      <alignment horizontal="center" vertical="center"/>
    </xf>
    <xf borderId="8" fillId="22" fontId="2" numFmtId="166" xfId="0" applyAlignment="1" applyBorder="1" applyFont="1" applyNumberFormat="1">
      <alignment horizontal="center" vertical="center"/>
    </xf>
    <xf borderId="8" fillId="22" fontId="2" numFmtId="4" xfId="0" applyAlignment="1" applyBorder="1" applyFont="1" applyNumberFormat="1">
      <alignment horizontal="center" vertical="center"/>
    </xf>
    <xf borderId="8" fillId="24" fontId="2" numFmtId="168" xfId="0" applyAlignment="1" applyBorder="1" applyFont="1" applyNumberFormat="1">
      <alignment horizontal="center" vertical="center"/>
    </xf>
    <xf borderId="8" fillId="23" fontId="2" numFmtId="164" xfId="0" applyAlignment="1" applyBorder="1" applyFont="1" applyNumberFormat="1">
      <alignment horizontal="center" vertical="center"/>
    </xf>
    <xf borderId="8" fillId="20" fontId="2" numFmtId="4" xfId="0" applyAlignment="1" applyBorder="1" applyFont="1" applyNumberFormat="1">
      <alignment horizontal="center" vertical="center"/>
    </xf>
    <xf borderId="8" fillId="22" fontId="2" numFmtId="168" xfId="0" applyAlignment="1" applyBorder="1" applyFont="1" applyNumberFormat="1">
      <alignment horizontal="center" vertical="center"/>
    </xf>
    <xf borderId="8" fillId="20" fontId="2" numFmtId="169" xfId="0" applyAlignment="1" applyBorder="1" applyFont="1" applyNumberFormat="1">
      <alignment horizontal="center" vertical="center"/>
    </xf>
    <xf borderId="8" fillId="24" fontId="2" numFmtId="166" xfId="0" applyAlignment="1" applyBorder="1" applyFont="1" applyNumberFormat="1">
      <alignment horizontal="center" vertical="center"/>
    </xf>
    <xf borderId="8" fillId="9" fontId="1" numFmtId="0" xfId="0" applyAlignment="1" applyBorder="1" applyFont="1">
      <alignment readingOrder="0"/>
    </xf>
    <xf borderId="8" fillId="9" fontId="22" numFmtId="169" xfId="0" applyAlignment="1" applyBorder="1" applyFont="1" applyNumberFormat="1">
      <alignment horizontal="center" vertical="center"/>
    </xf>
    <xf borderId="8" fillId="26" fontId="23" numFmtId="168" xfId="0" applyAlignment="1" applyBorder="1" applyFont="1" applyNumberFormat="1">
      <alignment horizontal="center" vertical="center"/>
    </xf>
    <xf borderId="8" fillId="22" fontId="23" numFmtId="168" xfId="0" applyAlignment="1" applyBorder="1" applyFont="1" applyNumberFormat="1">
      <alignment horizontal="center" vertical="center"/>
    </xf>
    <xf borderId="8" fillId="22" fontId="23" numFmtId="165" xfId="0" applyAlignment="1" applyBorder="1" applyFont="1" applyNumberFormat="1">
      <alignment horizontal="center" vertical="center"/>
    </xf>
    <xf borderId="8" fillId="24" fontId="23" numFmtId="165" xfId="0" applyAlignment="1" applyBorder="1" applyFont="1" applyNumberFormat="1">
      <alignment horizontal="center" vertical="center"/>
    </xf>
    <xf borderId="8" fillId="24" fontId="23" numFmtId="169" xfId="0" applyAlignment="1" applyBorder="1" applyFont="1" applyNumberFormat="1">
      <alignment horizontal="center" vertical="center"/>
    </xf>
    <xf borderId="8" fillId="23" fontId="23" numFmtId="166" xfId="0" applyAlignment="1" applyBorder="1" applyFont="1" applyNumberFormat="1">
      <alignment horizontal="center" vertical="center"/>
    </xf>
    <xf borderId="8" fillId="23" fontId="23" numFmtId="164" xfId="0" applyAlignment="1" applyBorder="1" applyFont="1" applyNumberFormat="1">
      <alignment horizontal="center" vertical="center"/>
    </xf>
    <xf borderId="8" fillId="22" fontId="23" numFmtId="4" xfId="0" applyAlignment="1" applyBorder="1" applyFont="1" applyNumberFormat="1">
      <alignment horizontal="center" vertical="center"/>
    </xf>
    <xf borderId="0" fillId="0" fontId="21" numFmtId="0" xfId="0" applyFont="1"/>
    <xf borderId="0" fillId="0" fontId="2" numFmtId="0" xfId="0" applyAlignment="1" applyFont="1">
      <alignment horizontal="center" vertical="center"/>
    </xf>
    <xf borderId="0" fillId="0" fontId="21" numFmtId="0" xfId="0" applyAlignment="1" applyFont="1">
      <alignment readingOrder="0"/>
    </xf>
    <xf borderId="0" fillId="0" fontId="21" numFmtId="2" xfId="0" applyAlignment="1" applyFont="1" applyNumberFormat="1">
      <alignment horizontal="center" vertical="center"/>
    </xf>
    <xf borderId="0" fillId="0" fontId="24" numFmtId="0" xfId="0" applyFont="1"/>
    <xf borderId="0" fillId="0" fontId="24" numFmtId="167" xfId="0" applyAlignment="1" applyFont="1" applyNumberForma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25" numFmtId="0" xfId="0" applyFont="1"/>
    <xf borderId="0" fillId="0" fontId="20" numFmtId="0" xfId="0" applyAlignment="1" applyFont="1">
      <alignment horizontal="center" vertical="center"/>
    </xf>
    <xf borderId="8" fillId="9" fontId="1" numFmtId="2" xfId="0" applyAlignment="1" applyBorder="1" applyFont="1" applyNumberFormat="1">
      <alignment horizontal="center" shrinkToFit="0" vertical="center" wrapText="1"/>
    </xf>
    <xf borderId="8" fillId="9" fontId="1" numFmtId="165" xfId="0" applyAlignment="1" applyBorder="1" applyFont="1" applyNumberFormat="1">
      <alignment horizontal="center" shrinkToFit="0" vertical="center" wrapText="1"/>
    </xf>
    <xf borderId="26" fillId="9" fontId="1" numFmtId="0" xfId="0" applyAlignment="1" applyBorder="1" applyFont="1">
      <alignment horizontal="center" shrinkToFit="0" vertical="center" wrapText="1"/>
    </xf>
    <xf borderId="8" fillId="9" fontId="1" numFmtId="4" xfId="0" applyAlignment="1" applyBorder="1" applyFont="1" applyNumberFormat="1">
      <alignment horizontal="center" shrinkToFit="0" vertical="center" wrapText="1"/>
    </xf>
    <xf borderId="0" fillId="0" fontId="20" numFmtId="0" xfId="0" applyFont="1"/>
    <xf borderId="8" fillId="0" fontId="2" numFmtId="0" xfId="0" applyBorder="1" applyFont="1"/>
    <xf borderId="27" fillId="35" fontId="2" numFmtId="168" xfId="0" applyAlignment="1" applyBorder="1" applyFont="1" applyNumberFormat="1">
      <alignment horizontal="center"/>
    </xf>
    <xf borderId="28" fillId="35" fontId="3" numFmtId="0" xfId="0" applyAlignment="1" applyBorder="1" applyFont="1">
      <alignment horizontal="center"/>
    </xf>
    <xf borderId="29" fillId="35" fontId="3" numFmtId="2" xfId="0" applyAlignment="1" applyBorder="1" applyFont="1" applyNumberFormat="1">
      <alignment horizontal="center"/>
    </xf>
    <xf borderId="27" fillId="0" fontId="2" numFmtId="168" xfId="0" applyAlignment="1" applyBorder="1" applyFont="1" applyNumberFormat="1">
      <alignment horizontal="center"/>
    </xf>
    <xf borderId="28" fillId="0" fontId="3" numFmtId="0" xfId="0" applyAlignment="1" applyBorder="1" applyFont="1">
      <alignment horizontal="center"/>
    </xf>
    <xf borderId="29" fillId="0" fontId="3" numFmtId="2" xfId="0" applyAlignment="1" applyBorder="1" applyFont="1" applyNumberFormat="1">
      <alignment horizontal="center"/>
    </xf>
    <xf borderId="0" fillId="34" fontId="2" numFmtId="0" xfId="0" applyAlignment="1" applyFont="1">
      <alignment horizontal="center"/>
    </xf>
    <xf borderId="0" fillId="34" fontId="3" numFmtId="0" xfId="0" applyAlignment="1" applyFont="1">
      <alignment horizontal="center"/>
    </xf>
    <xf borderId="27" fillId="35" fontId="2" numFmtId="165" xfId="0" applyAlignment="1" applyBorder="1" applyFont="1" applyNumberFormat="1">
      <alignment horizontal="center"/>
    </xf>
    <xf borderId="29" fillId="35" fontId="3" numFmtId="0" xfId="0" applyAlignment="1" applyBorder="1" applyFont="1">
      <alignment horizontal="center"/>
    </xf>
    <xf borderId="27" fillId="0" fontId="2" numFmtId="165" xfId="0" applyAlignment="1" applyBorder="1" applyFont="1" applyNumberFormat="1">
      <alignment horizontal="center"/>
    </xf>
    <xf borderId="29" fillId="0" fontId="3" numFmtId="0" xfId="0" applyAlignment="1" applyBorder="1" applyFont="1">
      <alignment horizontal="center"/>
    </xf>
    <xf borderId="27" fillId="35" fontId="2" numFmtId="169" xfId="0" applyAlignment="1" applyBorder="1" applyFont="1" applyNumberFormat="1">
      <alignment horizontal="center"/>
    </xf>
    <xf borderId="27" fillId="0" fontId="2" numFmtId="169" xfId="0" applyAlignment="1" applyBorder="1" applyFont="1" applyNumberFormat="1">
      <alignment horizontal="center"/>
    </xf>
    <xf borderId="27" fillId="35" fontId="2" numFmtId="164" xfId="0" applyAlignment="1" applyBorder="1" applyFont="1" applyNumberFormat="1">
      <alignment horizontal="center"/>
    </xf>
    <xf borderId="28" fillId="34" fontId="3" numFmtId="2" xfId="0" applyAlignment="1" applyBorder="1" applyFont="1" applyNumberFormat="1">
      <alignment horizontal="center"/>
    </xf>
    <xf borderId="28" fillId="34" fontId="3" numFmtId="0" xfId="0" applyAlignment="1" applyBorder="1" applyFont="1">
      <alignment horizontal="center"/>
    </xf>
    <xf borderId="27" fillId="35" fontId="2" numFmtId="166" xfId="0" applyAlignment="1" applyBorder="1" applyFont="1" applyNumberFormat="1">
      <alignment horizontal="center"/>
    </xf>
    <xf borderId="27" fillId="34" fontId="2" numFmtId="0" xfId="0" applyAlignment="1" applyBorder="1" applyFont="1">
      <alignment horizontal="center" readingOrder="0"/>
    </xf>
    <xf borderId="27" fillId="35" fontId="2" numFmtId="0" xfId="0" applyAlignment="1" applyBorder="1" applyFont="1">
      <alignment horizontal="center" readingOrder="0"/>
    </xf>
    <xf borderId="27" fillId="0" fontId="2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8" fillId="0" fontId="3" numFmtId="2" xfId="0" applyAlignment="1" applyBorder="1" applyFont="1" applyNumberFormat="1">
      <alignment horizontal="center"/>
    </xf>
    <xf borderId="0" fillId="0" fontId="20" numFmtId="9" xfId="0" applyFont="1" applyNumberFormat="1"/>
    <xf borderId="0" fillId="0" fontId="20" numFmtId="167" xfId="0" applyFont="1" applyNumberFormat="1"/>
    <xf borderId="8" fillId="0" fontId="2" numFmtId="0" xfId="0" applyAlignment="1" applyBorder="1" applyFont="1">
      <alignment readingOrder="0"/>
    </xf>
    <xf borderId="17" fillId="35" fontId="2" numFmtId="168" xfId="0" applyAlignment="1" applyBorder="1" applyFont="1" applyNumberFormat="1">
      <alignment horizontal="center"/>
    </xf>
    <xf borderId="0" fillId="35" fontId="3" numFmtId="0" xfId="0" applyAlignment="1" applyFont="1">
      <alignment horizontal="center"/>
    </xf>
    <xf borderId="18" fillId="35" fontId="3" numFmtId="2" xfId="0" applyAlignment="1" applyBorder="1" applyFont="1" applyNumberFormat="1">
      <alignment horizontal="center"/>
    </xf>
    <xf borderId="17" fillId="0" fontId="2" numFmtId="168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8" fillId="0" fontId="3" numFmtId="2" xfId="0" applyAlignment="1" applyBorder="1" applyFont="1" applyNumberFormat="1">
      <alignment horizontal="center"/>
    </xf>
    <xf borderId="17" fillId="35" fontId="2" numFmtId="165" xfId="0" applyAlignment="1" applyBorder="1" applyFont="1" applyNumberFormat="1">
      <alignment horizontal="center"/>
    </xf>
    <xf borderId="17" fillId="0" fontId="2" numFmtId="165" xfId="0" applyAlignment="1" applyBorder="1" applyFont="1" applyNumberFormat="1">
      <alignment horizontal="center"/>
    </xf>
    <xf borderId="17" fillId="35" fontId="2" numFmtId="169" xfId="0" applyAlignment="1" applyBorder="1" applyFont="1" applyNumberFormat="1">
      <alignment horizontal="center"/>
    </xf>
    <xf borderId="17" fillId="0" fontId="2" numFmtId="169" xfId="0" applyAlignment="1" applyBorder="1" applyFont="1" applyNumberFormat="1">
      <alignment horizontal="center"/>
    </xf>
    <xf borderId="17" fillId="35" fontId="2" numFmtId="164" xfId="0" applyAlignment="1" applyBorder="1" applyFont="1" applyNumberFormat="1">
      <alignment horizontal="center"/>
    </xf>
    <xf borderId="18" fillId="35" fontId="3" numFmtId="0" xfId="0" applyAlignment="1" applyBorder="1" applyFont="1">
      <alignment horizontal="center"/>
    </xf>
    <xf borderId="0" fillId="34" fontId="3" numFmtId="2" xfId="0" applyAlignment="1" applyFont="1" applyNumberFormat="1">
      <alignment horizontal="center"/>
    </xf>
    <xf borderId="17" fillId="35" fontId="2" numFmtId="166" xfId="0" applyAlignment="1" applyBorder="1" applyFont="1" applyNumberFormat="1">
      <alignment horizontal="center"/>
    </xf>
    <xf borderId="17" fillId="34" fontId="2" numFmtId="0" xfId="0" applyAlignment="1" applyBorder="1" applyFont="1">
      <alignment horizontal="center" readingOrder="0"/>
    </xf>
    <xf borderId="17" fillId="35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/>
    </xf>
    <xf borderId="30" fillId="0" fontId="2" numFmtId="0" xfId="0" applyAlignment="1" applyBorder="1" applyFont="1">
      <alignment horizontal="center" readingOrder="0"/>
    </xf>
    <xf borderId="21" fillId="35" fontId="2" numFmtId="168" xfId="0" applyAlignment="1" applyBorder="1" applyFont="1" applyNumberFormat="1">
      <alignment horizontal="center"/>
    </xf>
    <xf borderId="22" fillId="35" fontId="3" numFmtId="0" xfId="0" applyAlignment="1" applyBorder="1" applyFont="1">
      <alignment horizontal="center"/>
    </xf>
    <xf borderId="23" fillId="35" fontId="3" numFmtId="2" xfId="0" applyAlignment="1" applyBorder="1" applyFont="1" applyNumberFormat="1">
      <alignment horizontal="center"/>
    </xf>
    <xf borderId="21" fillId="0" fontId="2" numFmtId="168" xfId="0" applyAlignment="1" applyBorder="1" applyFont="1" applyNumberFormat="1">
      <alignment horizontal="center"/>
    </xf>
    <xf borderId="22" fillId="0" fontId="3" numFmtId="0" xfId="0" applyAlignment="1" applyBorder="1" applyFont="1">
      <alignment horizontal="center"/>
    </xf>
    <xf borderId="23" fillId="0" fontId="3" numFmtId="2" xfId="0" applyAlignment="1" applyBorder="1" applyFont="1" applyNumberFormat="1">
      <alignment horizontal="center"/>
    </xf>
    <xf borderId="21" fillId="35" fontId="2" numFmtId="165" xfId="0" applyAlignment="1" applyBorder="1" applyFont="1" applyNumberFormat="1">
      <alignment horizontal="center"/>
    </xf>
    <xf borderId="21" fillId="0" fontId="2" numFmtId="165" xfId="0" applyAlignment="1" applyBorder="1" applyFont="1" applyNumberFormat="1">
      <alignment horizontal="center"/>
    </xf>
    <xf borderId="21" fillId="35" fontId="2" numFmtId="169" xfId="0" applyAlignment="1" applyBorder="1" applyFont="1" applyNumberFormat="1">
      <alignment horizontal="center"/>
    </xf>
    <xf borderId="21" fillId="0" fontId="2" numFmtId="169" xfId="0" applyAlignment="1" applyBorder="1" applyFont="1" applyNumberFormat="1">
      <alignment horizontal="center"/>
    </xf>
    <xf borderId="21" fillId="35" fontId="2" numFmtId="164" xfId="0" applyAlignment="1" applyBorder="1" applyFont="1" applyNumberFormat="1">
      <alignment horizontal="center"/>
    </xf>
    <xf borderId="23" fillId="35" fontId="3" numFmtId="0" xfId="0" applyAlignment="1" applyBorder="1" applyFont="1">
      <alignment horizontal="center"/>
    </xf>
    <xf borderId="22" fillId="34" fontId="3" numFmtId="2" xfId="0" applyAlignment="1" applyBorder="1" applyFont="1" applyNumberFormat="1">
      <alignment horizontal="center"/>
    </xf>
    <xf borderId="22" fillId="34" fontId="3" numFmtId="0" xfId="0" applyAlignment="1" applyBorder="1" applyFont="1">
      <alignment horizontal="center"/>
    </xf>
    <xf borderId="21" fillId="35" fontId="2" numFmtId="166" xfId="0" applyAlignment="1" applyBorder="1" applyFont="1" applyNumberFormat="1">
      <alignment horizontal="center"/>
    </xf>
    <xf borderId="21" fillId="34" fontId="2" numFmtId="0" xfId="0" applyAlignment="1" applyBorder="1" applyFont="1">
      <alignment horizontal="center" readingOrder="0"/>
    </xf>
    <xf borderId="21" fillId="35" fontId="2" numFmtId="0" xfId="0" applyAlignment="1" applyBorder="1" applyFont="1">
      <alignment horizontal="center" readingOrder="0"/>
    </xf>
    <xf borderId="21" fillId="0" fontId="2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center"/>
    </xf>
    <xf borderId="31" fillId="0" fontId="2" numFmtId="0" xfId="0" applyAlignment="1" applyBorder="1" applyFont="1">
      <alignment horizontal="center" readingOrder="0"/>
    </xf>
    <xf borderId="0" fillId="0" fontId="20" numFmtId="165" xfId="0" applyFont="1" applyNumberFormat="1"/>
    <xf borderId="0" fillId="0" fontId="20" numFmtId="0" xfId="0" applyAlignment="1" applyFont="1">
      <alignment horizontal="center"/>
    </xf>
    <xf borderId="0" fillId="0" fontId="20" numFmtId="4" xfId="0" applyFont="1" applyNumberFormat="1"/>
    <xf borderId="0" fillId="0" fontId="20" numFmtId="164" xfId="0" applyFont="1" applyNumberFormat="1"/>
    <xf borderId="0" fillId="0" fontId="20" numFmtId="0" xfId="0" applyFont="1"/>
    <xf borderId="0" fillId="0" fontId="20" numFmtId="0" xfId="0" applyFont="1"/>
    <xf borderId="0" fillId="0" fontId="26" numFmtId="0" xfId="0" applyAlignment="1" applyFont="1">
      <alignment shrinkToFit="0" vertical="bottom" wrapText="0"/>
    </xf>
    <xf borderId="0" fillId="0" fontId="26" numFmtId="2" xfId="0" applyAlignment="1" applyFont="1" applyNumberFormat="1">
      <alignment shrinkToFit="0" vertical="bottom" wrapText="0"/>
    </xf>
    <xf borderId="0" fillId="0" fontId="26" numFmtId="165" xfId="0" applyAlignment="1" applyFont="1" applyNumberFormat="1">
      <alignment shrinkToFit="0" vertical="bottom" wrapText="0"/>
    </xf>
    <xf borderId="0" fillId="0" fontId="26" numFmtId="4" xfId="0" applyAlignment="1" applyFont="1" applyNumberFormat="1">
      <alignment shrinkToFit="0" vertical="bottom" wrapText="0"/>
    </xf>
    <xf borderId="11" fillId="11" fontId="27" numFmtId="0" xfId="0" applyAlignment="1" applyBorder="1" applyFont="1">
      <alignment horizontal="center" shrinkToFit="0" vertical="center" wrapText="1"/>
    </xf>
    <xf borderId="11" fillId="16" fontId="27" numFmtId="0" xfId="0" applyAlignment="1" applyBorder="1" applyFont="1">
      <alignment horizontal="center" shrinkToFit="0" vertical="center" wrapText="1"/>
    </xf>
    <xf borderId="11" fillId="25" fontId="27" numFmtId="0" xfId="0" applyAlignment="1" applyBorder="1" applyFont="1">
      <alignment horizontal="center" shrinkToFit="0" vertical="center" wrapText="1"/>
    </xf>
    <xf borderId="11" fillId="27" fontId="27" numFmtId="0" xfId="0" applyAlignment="1" applyBorder="1" applyFont="1">
      <alignment horizontal="center" readingOrder="0" shrinkToFit="0" vertical="center" wrapText="1"/>
    </xf>
    <xf borderId="11" fillId="27" fontId="27" numFmtId="0" xfId="0" applyAlignment="1" applyBorder="1" applyFont="1">
      <alignment horizontal="center" shrinkToFit="0" vertical="center" wrapText="1"/>
    </xf>
    <xf borderId="14" fillId="29" fontId="27" numFmtId="0" xfId="0" applyAlignment="1" applyBorder="1" applyFont="1">
      <alignment horizontal="center" shrinkToFit="0" vertical="center" wrapText="1"/>
    </xf>
    <xf borderId="8" fillId="32" fontId="27" numFmtId="0" xfId="0" applyAlignment="1" applyBorder="1" applyFont="1">
      <alignment horizontal="center" shrinkToFit="0" vertical="center" wrapText="0"/>
    </xf>
    <xf borderId="8" fillId="33" fontId="27" numFmtId="0" xfId="0" applyAlignment="1" applyBorder="1" applyFont="1">
      <alignment horizontal="center" shrinkToFit="0" vertical="center" wrapText="0"/>
    </xf>
    <xf borderId="8" fillId="15" fontId="27" numFmtId="0" xfId="0" applyAlignment="1" applyBorder="1" applyFont="1">
      <alignment horizontal="center" shrinkToFit="0" vertical="center" wrapText="0"/>
    </xf>
    <xf borderId="17" fillId="35" fontId="3" numFmtId="168" xfId="0" applyAlignment="1" applyBorder="1" applyFont="1" applyNumberFormat="1">
      <alignment horizontal="center" vertical="bottom"/>
    </xf>
    <xf borderId="0" fillId="33" fontId="17" numFmtId="169" xfId="0" applyAlignment="1" applyFont="1" applyNumberFormat="1">
      <alignment horizontal="center" shrinkToFit="0" vertical="center" wrapText="0"/>
    </xf>
    <xf borderId="17" fillId="0" fontId="3" numFmtId="168" xfId="0" applyAlignment="1" applyBorder="1" applyFont="1" applyNumberFormat="1">
      <alignment horizontal="center" vertical="bottom"/>
    </xf>
    <xf borderId="17" fillId="19" fontId="3" numFmtId="168" xfId="0" applyAlignment="1" applyBorder="1" applyFont="1" applyNumberFormat="1">
      <alignment horizontal="center" vertical="bottom"/>
    </xf>
    <xf borderId="17" fillId="0" fontId="3" numFmtId="165" xfId="0" applyAlignment="1" applyBorder="1" applyFont="1" applyNumberFormat="1">
      <alignment horizontal="center" vertical="bottom"/>
    </xf>
    <xf borderId="17" fillId="35" fontId="3" numFmtId="165" xfId="0" applyAlignment="1" applyBorder="1" applyFont="1" applyNumberFormat="1">
      <alignment horizontal="center" vertical="bottom"/>
    </xf>
    <xf borderId="17" fillId="0" fontId="3" numFmtId="169" xfId="0" applyAlignment="1" applyBorder="1" applyFont="1" applyNumberFormat="1">
      <alignment horizontal="center" vertical="bottom"/>
    </xf>
    <xf borderId="17" fillId="0" fontId="3" numFmtId="164" xfId="0" applyAlignment="1" applyBorder="1" applyFont="1" applyNumberFormat="1">
      <alignment horizontal="center" vertical="bottom"/>
    </xf>
    <xf borderId="17" fillId="35" fontId="3" numFmtId="4" xfId="0" applyAlignment="1" applyBorder="1" applyFont="1" applyNumberFormat="1">
      <alignment horizontal="center" vertical="bottom"/>
    </xf>
    <xf borderId="17" fillId="0" fontId="3" numFmtId="166" xfId="0" applyAlignment="1" applyBorder="1" applyFont="1" applyNumberFormat="1">
      <alignment horizontal="center" vertical="bottom"/>
    </xf>
    <xf borderId="17" fillId="35" fontId="3" numFmtId="1" xfId="0" applyAlignment="1" applyBorder="1" applyFont="1" applyNumberFormat="1">
      <alignment horizontal="center" readingOrder="0" vertical="bottom"/>
    </xf>
    <xf borderId="17" fillId="0" fontId="3" numFmtId="1" xfId="0" applyAlignment="1" applyBorder="1" applyFont="1" applyNumberFormat="1">
      <alignment horizontal="center" vertical="bottom"/>
    </xf>
    <xf borderId="30" fillId="0" fontId="3" numFmtId="9" xfId="0" applyAlignment="1" applyBorder="1" applyFont="1" applyNumberFormat="1">
      <alignment horizontal="center" readingOrder="0" vertical="bottom"/>
    </xf>
    <xf borderId="32" fillId="28" fontId="8" numFmtId="2" xfId="0" applyAlignment="1" applyBorder="1" applyFont="1" applyNumberFormat="1">
      <alignment horizontal="center"/>
    </xf>
    <xf borderId="17" fillId="0" fontId="3" numFmtId="1" xfId="0" applyAlignment="1" applyBorder="1" applyFont="1" applyNumberFormat="1">
      <alignment horizontal="center" readingOrder="0" vertical="bottom"/>
    </xf>
    <xf borderId="33" fillId="28" fontId="8" numFmtId="2" xfId="0" applyAlignment="1" applyBorder="1" applyFont="1" applyNumberFormat="1">
      <alignment horizontal="center"/>
    </xf>
    <xf borderId="34" fillId="28" fontId="8" numFmtId="2" xfId="0" applyAlignment="1" applyBorder="1" applyFont="1" applyNumberFormat="1">
      <alignment horizontal="center"/>
    </xf>
    <xf borderId="4" fillId="35" fontId="3" numFmtId="168" xfId="0" applyAlignment="1" applyBorder="1" applyFont="1" applyNumberFormat="1">
      <alignment horizontal="center" vertical="bottom"/>
    </xf>
    <xf borderId="5" fillId="33" fontId="17" numFmtId="169" xfId="0" applyAlignment="1" applyBorder="1" applyFont="1" applyNumberFormat="1">
      <alignment horizontal="center" shrinkToFit="0" vertical="center" wrapText="0"/>
    </xf>
    <xf borderId="4" fillId="0" fontId="3" numFmtId="168" xfId="0" applyAlignment="1" applyBorder="1" applyFont="1" applyNumberFormat="1">
      <alignment horizontal="center" vertical="bottom"/>
    </xf>
    <xf borderId="4" fillId="19" fontId="3" numFmtId="168" xfId="0" applyAlignment="1" applyBorder="1" applyFont="1" applyNumberFormat="1">
      <alignment horizontal="center" vertical="bottom"/>
    </xf>
    <xf borderId="4" fillId="0" fontId="3" numFmtId="165" xfId="0" applyAlignment="1" applyBorder="1" applyFont="1" applyNumberFormat="1">
      <alignment horizontal="center" vertical="bottom"/>
    </xf>
    <xf borderId="4" fillId="35" fontId="3" numFmtId="165" xfId="0" applyAlignment="1" applyBorder="1" applyFont="1" applyNumberFormat="1">
      <alignment horizontal="center" vertical="bottom"/>
    </xf>
    <xf borderId="4" fillId="0" fontId="3" numFmtId="169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4" fillId="35" fontId="3" numFmtId="4" xfId="0" applyAlignment="1" applyBorder="1" applyFont="1" applyNumberFormat="1">
      <alignment horizontal="center" vertical="bottom"/>
    </xf>
    <xf borderId="4" fillId="0" fontId="3" numFmtId="166" xfId="0" applyAlignment="1" applyBorder="1" applyFont="1" applyNumberFormat="1">
      <alignment horizontal="center" vertical="bottom"/>
    </xf>
    <xf borderId="4" fillId="35" fontId="3" numFmtId="1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readingOrder="0" vertical="bottom"/>
    </xf>
    <xf borderId="6" fillId="28" fontId="8" numFmtId="2" xfId="0" applyAlignment="1" applyBorder="1" applyFont="1" applyNumberFormat="1">
      <alignment horizontal="center"/>
    </xf>
    <xf borderId="22" fillId="31" fontId="28" numFmtId="164" xfId="0" applyAlignment="1" applyBorder="1" applyFont="1" applyNumberFormat="1">
      <alignment horizontal="center" shrinkToFit="0" vertical="center" wrapText="0"/>
    </xf>
    <xf borderId="31" fillId="31" fontId="17" numFmtId="164" xfId="0" applyAlignment="1" applyBorder="1" applyFont="1" applyNumberFormat="1">
      <alignment horizontal="center" shrinkToFit="0" vertical="center" wrapText="0"/>
    </xf>
    <xf borderId="8" fillId="9" fontId="29" numFmtId="0" xfId="0" applyAlignment="1" applyBorder="1" applyFont="1">
      <alignment horizontal="center" shrinkToFit="0" vertical="center" wrapText="1"/>
    </xf>
    <xf borderId="8" fillId="9" fontId="29" numFmtId="2" xfId="0" applyAlignment="1" applyBorder="1" applyFont="1" applyNumberFormat="1">
      <alignment horizontal="center" shrinkToFit="0" vertical="center" wrapText="1"/>
    </xf>
    <xf borderId="8" fillId="9" fontId="29" numFmtId="165" xfId="0" applyAlignment="1" applyBorder="1" applyFont="1" applyNumberFormat="1">
      <alignment horizontal="center" shrinkToFit="0" vertical="center" wrapText="1"/>
    </xf>
    <xf borderId="8" fillId="9" fontId="29" numFmtId="4" xfId="0" applyAlignment="1" applyBorder="1" applyFont="1" applyNumberFormat="1">
      <alignment horizontal="center" shrinkToFit="0" vertical="center" wrapText="1"/>
    </xf>
    <xf borderId="8" fillId="0" fontId="30" numFmtId="0" xfId="0" applyBorder="1" applyFont="1"/>
    <xf borderId="27" fillId="35" fontId="20" numFmtId="168" xfId="0" applyAlignment="1" applyBorder="1" applyFont="1" applyNumberFormat="1">
      <alignment horizontal="center"/>
    </xf>
    <xf borderId="28" fillId="35" fontId="31" numFmtId="0" xfId="0" applyAlignment="1" applyBorder="1" applyFont="1">
      <alignment horizontal="center"/>
    </xf>
    <xf borderId="29" fillId="35" fontId="31" numFmtId="2" xfId="0" applyAlignment="1" applyBorder="1" applyFont="1" applyNumberFormat="1">
      <alignment horizontal="center"/>
    </xf>
    <xf borderId="27" fillId="0" fontId="20" numFmtId="168" xfId="0" applyAlignment="1" applyBorder="1" applyFont="1" applyNumberFormat="1">
      <alignment horizontal="center"/>
    </xf>
    <xf borderId="28" fillId="0" fontId="31" numFmtId="0" xfId="0" applyAlignment="1" applyBorder="1" applyFont="1">
      <alignment horizontal="center"/>
    </xf>
    <xf borderId="29" fillId="0" fontId="31" numFmtId="2" xfId="0" applyAlignment="1" applyBorder="1" applyFont="1" applyNumberFormat="1">
      <alignment horizontal="center"/>
    </xf>
    <xf borderId="27" fillId="19" fontId="20" numFmtId="0" xfId="0" applyAlignment="1" applyBorder="1" applyFont="1">
      <alignment horizontal="center"/>
    </xf>
    <xf borderId="28" fillId="19" fontId="31" numFmtId="0" xfId="0" applyAlignment="1" applyBorder="1" applyFont="1">
      <alignment horizontal="center"/>
    </xf>
    <xf borderId="29" fillId="19" fontId="31" numFmtId="0" xfId="0" applyAlignment="1" applyBorder="1" applyFont="1">
      <alignment horizontal="center"/>
    </xf>
    <xf borderId="27" fillId="0" fontId="20" numFmtId="165" xfId="0" applyAlignment="1" applyBorder="1" applyFont="1" applyNumberFormat="1">
      <alignment horizontal="center"/>
    </xf>
    <xf borderId="29" fillId="0" fontId="31" numFmtId="0" xfId="0" applyAlignment="1" applyBorder="1" applyFont="1">
      <alignment horizontal="center"/>
    </xf>
    <xf borderId="27" fillId="35" fontId="20" numFmtId="165" xfId="0" applyAlignment="1" applyBorder="1" applyFont="1" applyNumberFormat="1">
      <alignment horizontal="center"/>
    </xf>
    <xf borderId="29" fillId="35" fontId="31" numFmtId="0" xfId="0" applyAlignment="1" applyBorder="1" applyFont="1">
      <alignment horizontal="center"/>
    </xf>
    <xf borderId="27" fillId="0" fontId="20" numFmtId="0" xfId="0" applyAlignment="1" applyBorder="1" applyFont="1">
      <alignment horizontal="center"/>
    </xf>
    <xf borderId="27" fillId="35" fontId="20" numFmtId="0" xfId="0" applyAlignment="1" applyBorder="1" applyFont="1">
      <alignment horizontal="center"/>
    </xf>
    <xf borderId="27" fillId="0" fontId="20" numFmtId="164" xfId="0" applyAlignment="1" applyBorder="1" applyFont="1" applyNumberFormat="1">
      <alignment horizontal="center"/>
    </xf>
    <xf borderId="27" fillId="35" fontId="20" numFmtId="4" xfId="0" applyAlignment="1" applyBorder="1" applyFont="1" applyNumberFormat="1">
      <alignment horizontal="center"/>
    </xf>
    <xf borderId="27" fillId="0" fontId="20" numFmtId="166" xfId="0" applyAlignment="1" applyBorder="1" applyFont="1" applyNumberFormat="1">
      <alignment horizontal="center"/>
    </xf>
    <xf borderId="27" fillId="35" fontId="31" numFmtId="0" xfId="0" applyAlignment="1" applyBorder="1" applyFont="1">
      <alignment horizontal="center" vertical="bottom"/>
    </xf>
    <xf borderId="27" fillId="0" fontId="31" numFmtId="0" xfId="0" applyAlignment="1" applyBorder="1" applyFont="1">
      <alignment horizontal="center" vertical="bottom"/>
    </xf>
    <xf borderId="26" fillId="0" fontId="31" numFmtId="0" xfId="0" applyAlignment="1" applyBorder="1" applyFont="1">
      <alignment horizontal="center" vertical="bottom"/>
    </xf>
    <xf borderId="8" fillId="0" fontId="31" numFmtId="2" xfId="0" applyAlignment="1" applyBorder="1" applyFont="1" applyNumberFormat="1">
      <alignment horizontal="center"/>
    </xf>
    <xf borderId="8" fillId="0" fontId="30" numFmtId="0" xfId="0" applyAlignment="1" applyBorder="1" applyFont="1">
      <alignment readingOrder="0"/>
    </xf>
    <xf borderId="17" fillId="35" fontId="20" numFmtId="168" xfId="0" applyAlignment="1" applyBorder="1" applyFont="1" applyNumberFormat="1">
      <alignment horizontal="center"/>
    </xf>
    <xf borderId="0" fillId="35" fontId="31" numFmtId="0" xfId="0" applyAlignment="1" applyFont="1">
      <alignment horizontal="center"/>
    </xf>
    <xf borderId="18" fillId="35" fontId="31" numFmtId="2" xfId="0" applyAlignment="1" applyBorder="1" applyFont="1" applyNumberFormat="1">
      <alignment horizontal="center"/>
    </xf>
    <xf borderId="17" fillId="0" fontId="20" numFmtId="168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8" fillId="0" fontId="31" numFmtId="2" xfId="0" applyAlignment="1" applyBorder="1" applyFont="1" applyNumberFormat="1">
      <alignment horizontal="center"/>
    </xf>
    <xf borderId="17" fillId="19" fontId="20" numFmtId="0" xfId="0" applyAlignment="1" applyBorder="1" applyFont="1">
      <alignment horizontal="center"/>
    </xf>
    <xf borderId="0" fillId="19" fontId="31" numFmtId="0" xfId="0" applyAlignment="1" applyFont="1">
      <alignment horizontal="center"/>
    </xf>
    <xf borderId="18" fillId="19" fontId="31" numFmtId="0" xfId="0" applyAlignment="1" applyBorder="1" applyFont="1">
      <alignment horizontal="center"/>
    </xf>
    <xf borderId="17" fillId="0" fontId="20" numFmtId="165" xfId="0" applyAlignment="1" applyBorder="1" applyFont="1" applyNumberFormat="1">
      <alignment horizontal="center"/>
    </xf>
    <xf borderId="18" fillId="0" fontId="31" numFmtId="0" xfId="0" applyAlignment="1" applyBorder="1" applyFont="1">
      <alignment horizontal="center"/>
    </xf>
    <xf borderId="17" fillId="35" fontId="20" numFmtId="165" xfId="0" applyAlignment="1" applyBorder="1" applyFont="1" applyNumberFormat="1">
      <alignment horizontal="center"/>
    </xf>
    <xf borderId="18" fillId="35" fontId="31" numFmtId="0" xfId="0" applyAlignment="1" applyBorder="1" applyFont="1">
      <alignment horizontal="center"/>
    </xf>
    <xf borderId="17" fillId="0" fontId="20" numFmtId="169" xfId="0" applyAlignment="1" applyBorder="1" applyFont="1" applyNumberFormat="1">
      <alignment horizontal="center"/>
    </xf>
    <xf borderId="17" fillId="35" fontId="20" numFmtId="0" xfId="0" applyAlignment="1" applyBorder="1" applyFont="1">
      <alignment horizontal="center"/>
    </xf>
    <xf borderId="17" fillId="0" fontId="20" numFmtId="164" xfId="0" applyAlignment="1" applyBorder="1" applyFont="1" applyNumberFormat="1">
      <alignment horizontal="center"/>
    </xf>
    <xf borderId="17" fillId="35" fontId="20" numFmtId="4" xfId="0" applyAlignment="1" applyBorder="1" applyFont="1" applyNumberFormat="1">
      <alignment horizontal="center"/>
    </xf>
    <xf borderId="17" fillId="0" fontId="20" numFmtId="166" xfId="0" applyAlignment="1" applyBorder="1" applyFont="1" applyNumberFormat="1">
      <alignment horizontal="center"/>
    </xf>
    <xf borderId="17" fillId="35" fontId="31" numFmtId="0" xfId="0" applyAlignment="1" applyBorder="1" applyFont="1">
      <alignment horizontal="center" vertical="bottom"/>
    </xf>
    <xf borderId="17" fillId="0" fontId="31" numFmtId="0" xfId="0" applyAlignment="1" applyBorder="1" applyFont="1">
      <alignment horizontal="center" vertical="bottom"/>
    </xf>
    <xf borderId="30" fillId="0" fontId="31" numFmtId="0" xfId="0" applyAlignment="1" applyBorder="1" applyFont="1">
      <alignment horizontal="center" vertical="bottom"/>
    </xf>
    <xf borderId="30" fillId="0" fontId="31" numFmtId="3" xfId="0" applyAlignment="1" applyBorder="1" applyFont="1" applyNumberFormat="1">
      <alignment horizontal="center" vertical="bottom"/>
    </xf>
    <xf borderId="21" fillId="35" fontId="20" numFmtId="168" xfId="0" applyAlignment="1" applyBorder="1" applyFont="1" applyNumberFormat="1">
      <alignment horizontal="center"/>
    </xf>
    <xf borderId="22" fillId="35" fontId="31" numFmtId="0" xfId="0" applyAlignment="1" applyBorder="1" applyFont="1">
      <alignment horizontal="center"/>
    </xf>
    <xf borderId="23" fillId="35" fontId="31" numFmtId="2" xfId="0" applyAlignment="1" applyBorder="1" applyFont="1" applyNumberFormat="1">
      <alignment horizontal="center"/>
    </xf>
    <xf borderId="21" fillId="0" fontId="20" numFmtId="168" xfId="0" applyAlignment="1" applyBorder="1" applyFont="1" applyNumberFormat="1">
      <alignment horizontal="center"/>
    </xf>
    <xf borderId="22" fillId="0" fontId="31" numFmtId="0" xfId="0" applyAlignment="1" applyBorder="1" applyFont="1">
      <alignment horizontal="center"/>
    </xf>
    <xf borderId="23" fillId="0" fontId="31" numFmtId="2" xfId="0" applyAlignment="1" applyBorder="1" applyFont="1" applyNumberFormat="1">
      <alignment horizontal="center"/>
    </xf>
    <xf borderId="21" fillId="19" fontId="20" numFmtId="0" xfId="0" applyAlignment="1" applyBorder="1" applyFont="1">
      <alignment horizontal="center"/>
    </xf>
    <xf borderId="22" fillId="19" fontId="31" numFmtId="0" xfId="0" applyAlignment="1" applyBorder="1" applyFont="1">
      <alignment horizontal="center"/>
    </xf>
    <xf borderId="23" fillId="19" fontId="31" numFmtId="0" xfId="0" applyAlignment="1" applyBorder="1" applyFont="1">
      <alignment horizontal="center"/>
    </xf>
    <xf borderId="21" fillId="0" fontId="20" numFmtId="165" xfId="0" applyAlignment="1" applyBorder="1" applyFont="1" applyNumberFormat="1">
      <alignment horizontal="center"/>
    </xf>
    <xf borderId="23" fillId="0" fontId="31" numFmtId="0" xfId="0" applyAlignment="1" applyBorder="1" applyFont="1">
      <alignment horizontal="center"/>
    </xf>
    <xf borderId="21" fillId="35" fontId="20" numFmtId="165" xfId="0" applyAlignment="1" applyBorder="1" applyFont="1" applyNumberFormat="1">
      <alignment horizontal="center"/>
    </xf>
    <xf borderId="23" fillId="35" fontId="31" numFmtId="0" xfId="0" applyAlignment="1" applyBorder="1" applyFont="1">
      <alignment horizontal="center"/>
    </xf>
    <xf borderId="21" fillId="0" fontId="20" numFmtId="169" xfId="0" applyAlignment="1" applyBorder="1" applyFont="1" applyNumberFormat="1">
      <alignment horizontal="center"/>
    </xf>
    <xf borderId="21" fillId="35" fontId="20" numFmtId="0" xfId="0" applyAlignment="1" applyBorder="1" applyFont="1">
      <alignment horizontal="center"/>
    </xf>
    <xf borderId="21" fillId="0" fontId="20" numFmtId="164" xfId="0" applyAlignment="1" applyBorder="1" applyFont="1" applyNumberFormat="1">
      <alignment horizontal="center"/>
    </xf>
    <xf borderId="21" fillId="35" fontId="20" numFmtId="4" xfId="0" applyAlignment="1" applyBorder="1" applyFont="1" applyNumberFormat="1">
      <alignment horizontal="center"/>
    </xf>
    <xf borderId="21" fillId="0" fontId="20" numFmtId="166" xfId="0" applyAlignment="1" applyBorder="1" applyFont="1" applyNumberFormat="1">
      <alignment horizontal="center"/>
    </xf>
    <xf borderId="21" fillId="35" fontId="31" numFmtId="0" xfId="0" applyAlignment="1" applyBorder="1" applyFont="1">
      <alignment horizontal="center" vertical="bottom"/>
    </xf>
    <xf borderId="21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20" numFmtId="4" xfId="0" applyAlignment="1" applyFont="1" applyNumberFormat="1">
      <alignment horizontal="center"/>
    </xf>
    <xf borderId="0" fillId="0" fontId="20" numFmtId="170" xfId="0" applyFont="1" applyNumberFormat="1"/>
    <xf borderId="1" fillId="9" fontId="22" numFmtId="0" xfId="0" applyAlignment="1" applyBorder="1" applyFont="1">
      <alignment horizontal="center" shrinkToFit="0" vertical="center" wrapText="1"/>
    </xf>
    <xf borderId="1" fillId="9" fontId="22" numFmtId="164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9" fontId="2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3" numFmtId="2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9" fontId="1" numFmtId="0" xfId="0" applyAlignment="1" applyFont="1">
      <alignment readingOrder="0"/>
    </xf>
    <xf borderId="0" fillId="9" fontId="19" numFmtId="2" xfId="0" applyAlignment="1" applyFont="1" applyNumberFormat="1">
      <alignment horizontal="center" vertical="center"/>
    </xf>
    <xf borderId="0" fillId="9" fontId="22" numFmtId="169" xfId="0" applyAlignment="1" applyFont="1" applyNumberFormat="1">
      <alignment horizontal="center" vertical="center"/>
    </xf>
    <xf borderId="0" fillId="9" fontId="22" numFmtId="164" xfId="0" applyAlignment="1" applyFont="1" applyNumberFormat="1">
      <alignment horizontal="center" vertical="center"/>
    </xf>
    <xf borderId="0" fillId="9" fontId="1" numFmtId="168" xfId="0" applyAlignment="1" applyFont="1" applyNumberFormat="1">
      <alignment horizontal="center" vertical="center"/>
    </xf>
    <xf borderId="0" fillId="9" fontId="1" numFmtId="165" xfId="0" applyAlignment="1" applyFont="1" applyNumberFormat="1">
      <alignment horizontal="center" vertical="center"/>
    </xf>
    <xf borderId="0" fillId="9" fontId="1" numFmtId="169" xfId="0" applyAlignment="1" applyFont="1" applyNumberFormat="1">
      <alignment horizontal="center" vertical="center"/>
    </xf>
    <xf borderId="0" fillId="9" fontId="1" numFmtId="166" xfId="0" applyAlignment="1" applyFont="1" applyNumberFormat="1">
      <alignment horizontal="center" vertical="center"/>
    </xf>
    <xf borderId="0" fillId="9" fontId="1" numFmtId="164" xfId="0" applyAlignment="1" applyFont="1" applyNumberFormat="1">
      <alignment horizontal="center" vertical="center"/>
    </xf>
    <xf borderId="0" fillId="9" fontId="1" numFmtId="4" xfId="0" applyAlignment="1" applyFont="1" applyNumberFormat="1">
      <alignment horizontal="center" vertical="center"/>
    </xf>
    <xf borderId="0" fillId="9" fontId="1" numFmtId="1" xfId="0" applyAlignment="1" applyFont="1" applyNumberFormat="1">
      <alignment horizontal="center" vertical="center"/>
    </xf>
    <xf borderId="0" fillId="9" fontId="1" numFmtId="9" xfId="0" applyAlignment="1" applyFont="1" applyNumberFormat="1">
      <alignment horizontal="center" vertical="center"/>
    </xf>
    <xf borderId="0" fillId="0" fontId="24" numFmtId="167" xfId="0" applyAlignment="1" applyFont="1" applyNumberFormat="1">
      <alignment horizontal="center" vertical="center"/>
    </xf>
    <xf borderId="0" fillId="0" fontId="20" numFmtId="164" xfId="0" applyAlignment="1" applyFont="1" applyNumberFormat="1">
      <alignment horizontal="center" vertical="center"/>
    </xf>
    <xf borderId="17" fillId="0" fontId="20" numFmtId="0" xfId="0" applyAlignment="1" applyBorder="1" applyFont="1">
      <alignment horizontal="center"/>
    </xf>
    <xf borderId="30" fillId="0" fontId="31" numFmtId="0" xfId="0" applyAlignment="1" applyBorder="1" applyFont="1">
      <alignment horizontal="center" readingOrder="0" vertical="bottom"/>
    </xf>
    <xf borderId="8" fillId="0" fontId="31" numFmtId="0" xfId="0" applyAlignment="1" applyBorder="1" applyFont="1">
      <alignment horizontal="center"/>
    </xf>
    <xf borderId="8" fillId="0" fontId="31" numFmtId="9" xfId="0" applyAlignment="1" applyBorder="1" applyFont="1" applyNumberFormat="1">
      <alignment horizontal="center"/>
    </xf>
    <xf borderId="8" fillId="0" fontId="30" numFmtId="0" xfId="0" applyAlignment="1" applyBorder="1" applyFont="1">
      <alignment horizontal="center"/>
    </xf>
    <xf borderId="8" fillId="0" fontId="31" numFmtId="167" xfId="0" applyAlignment="1" applyBorder="1" applyFont="1" applyNumberFormat="1">
      <alignment horizontal="center"/>
    </xf>
    <xf borderId="17" fillId="35" fontId="20" numFmtId="171" xfId="0" applyAlignment="1" applyBorder="1" applyFont="1" applyNumberFormat="1">
      <alignment horizontal="center"/>
    </xf>
    <xf borderId="21" fillId="35" fontId="20" numFmtId="171" xfId="0" applyAlignment="1" applyBorder="1" applyFont="1" applyNumberFormat="1">
      <alignment horizontal="center"/>
    </xf>
    <xf borderId="8" fillId="31" fontId="22" numFmtId="0" xfId="0" applyAlignment="1" applyBorder="1" applyFont="1">
      <alignment horizontal="center" shrinkToFit="0" vertical="center" wrapText="1"/>
    </xf>
    <xf borderId="8" fillId="12" fontId="16" numFmtId="0" xfId="0" applyAlignment="1" applyBorder="1" applyFont="1">
      <alignment horizontal="center" readingOrder="0" shrinkToFit="0" vertical="center" wrapText="0"/>
    </xf>
    <xf borderId="0" fillId="12" fontId="17" numFmtId="0" xfId="0" applyAlignment="1" applyFont="1">
      <alignment horizontal="center" shrinkToFit="0" vertical="center" wrapText="0"/>
    </xf>
    <xf borderId="17" fillId="35" fontId="3" numFmtId="1" xfId="0" applyAlignment="1" applyBorder="1" applyFont="1" applyNumberFormat="1">
      <alignment horizontal="center" vertical="bottom"/>
    </xf>
    <xf borderId="17" fillId="0" fontId="3" numFmtId="9" xfId="0" applyAlignment="1" applyBorder="1" applyFont="1" applyNumberFormat="1">
      <alignment horizontal="center" readingOrder="0" vertical="bottom"/>
    </xf>
    <xf borderId="8" fillId="28" fontId="16" numFmtId="2" xfId="0" applyAlignment="1" applyBorder="1" applyFont="1" applyNumberFormat="1">
      <alignment horizontal="center" shrinkToFit="0" vertical="center" wrapText="0"/>
    </xf>
    <xf borderId="6" fillId="0" fontId="3" numFmtId="2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vertical="bottom"/>
    </xf>
    <xf borderId="8" fillId="0" fontId="3" numFmtId="172" xfId="0" applyAlignment="1" applyBorder="1" applyFont="1" applyNumberFormat="1">
      <alignment horizontal="center" vertical="bottom"/>
    </xf>
    <xf borderId="8" fillId="0" fontId="3" numFmtId="167" xfId="0" applyAlignment="1" applyBorder="1" applyFont="1" applyNumberFormat="1">
      <alignment horizontal="center" vertical="bottom"/>
    </xf>
    <xf borderId="4" fillId="0" fontId="3" numFmtId="9" xfId="0" applyAlignment="1" applyBorder="1" applyFont="1" applyNumberFormat="1">
      <alignment horizontal="center" readingOrder="0" vertical="bottom"/>
    </xf>
    <xf borderId="20" fillId="31" fontId="15" numFmtId="0" xfId="0" applyAlignment="1" applyBorder="1" applyFont="1">
      <alignment horizontal="right" shrinkToFit="0" vertical="center" wrapText="0"/>
    </xf>
    <xf borderId="21" fillId="31" fontId="17" numFmtId="0" xfId="0" applyAlignment="1" applyBorder="1" applyFont="1">
      <alignment horizontal="center" shrinkToFit="0" vertical="center" wrapText="0"/>
    </xf>
    <xf borderId="22" fillId="31" fontId="17" numFmtId="0" xfId="0" applyAlignment="1" applyBorder="1" applyFont="1">
      <alignment horizontal="center" shrinkToFit="0" vertical="center" wrapText="0"/>
    </xf>
    <xf borderId="8" fillId="31" fontId="15" numFmtId="0" xfId="0" applyAlignment="1" applyBorder="1" applyFont="1">
      <alignment horizontal="center" shrinkToFit="0" vertical="center" wrapText="0"/>
    </xf>
    <xf borderId="0" fillId="31" fontId="15" numFmtId="0" xfId="0" applyAlignment="1" applyFont="1">
      <alignment horizontal="center" shrinkToFit="0" vertical="center" wrapText="0"/>
    </xf>
    <xf borderId="1" fillId="9" fontId="22" numFmtId="0" xfId="0" applyAlignment="1" applyBorder="1" applyFont="1">
      <alignment horizontal="center" shrinkToFit="0" wrapText="1"/>
    </xf>
    <xf borderId="1" fillId="9" fontId="22" numFmtId="164" xfId="0" applyAlignment="1" applyBorder="1" applyFont="1" applyNumberFormat="1">
      <alignment horizontal="center" shrinkToFit="0" wrapText="1"/>
    </xf>
    <xf borderId="1" fillId="9" fontId="2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36" fontId="3" numFmtId="2" xfId="0" applyAlignment="1" applyFill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37" fontId="3" numFmtId="2" xfId="0" applyAlignment="1" applyFill="1" applyFont="1" applyNumberFormat="1">
      <alignment horizontal="center"/>
    </xf>
    <xf borderId="0" fillId="38" fontId="3" numFmtId="2" xfId="0" applyAlignment="1" applyFill="1" applyFont="1" applyNumberFormat="1">
      <alignment horizontal="center"/>
    </xf>
    <xf borderId="0" fillId="39" fontId="3" numFmtId="2" xfId="0" applyAlignment="1" applyFill="1" applyFont="1" applyNumberFormat="1">
      <alignment horizontal="center"/>
    </xf>
    <xf borderId="0" fillId="40" fontId="3" numFmtId="2" xfId="0" applyAlignment="1" applyFill="1" applyFont="1" applyNumberFormat="1">
      <alignment horizontal="center"/>
    </xf>
    <xf borderId="0" fillId="9" fontId="22" numFmtId="0" xfId="0" applyAlignment="1" applyFont="1">
      <alignment vertical="bottom"/>
    </xf>
    <xf borderId="0" fillId="41" fontId="32" numFmtId="2" xfId="0" applyAlignment="1" applyFill="1" applyFont="1" applyNumberFormat="1">
      <alignment horizontal="center"/>
    </xf>
    <xf borderId="0" fillId="9" fontId="22" numFmtId="169" xfId="0" applyAlignment="1" applyFont="1" applyNumberFormat="1">
      <alignment horizontal="center"/>
    </xf>
    <xf borderId="0" fillId="9" fontId="22" numFmtId="164" xfId="0" applyAlignment="1" applyFont="1" applyNumberFormat="1">
      <alignment horizontal="center"/>
    </xf>
    <xf borderId="0" fillId="9" fontId="22" numFmtId="168" xfId="0" applyAlignment="1" applyFont="1" applyNumberFormat="1">
      <alignment horizontal="center"/>
    </xf>
    <xf borderId="0" fillId="9" fontId="22" numFmtId="165" xfId="0" applyAlignment="1" applyFont="1" applyNumberFormat="1">
      <alignment horizontal="center"/>
    </xf>
    <xf borderId="0" fillId="9" fontId="22" numFmtId="166" xfId="0" applyAlignment="1" applyFont="1" applyNumberFormat="1">
      <alignment horizontal="center"/>
    </xf>
    <xf borderId="0" fillId="9" fontId="22" numFmtId="4" xfId="0" applyAlignment="1" applyFont="1" applyNumberFormat="1">
      <alignment horizontal="center"/>
    </xf>
    <xf borderId="0" fillId="9" fontId="22" numFmtId="1" xfId="0" applyAlignment="1" applyFont="1" applyNumberFormat="1">
      <alignment horizontal="center"/>
    </xf>
    <xf borderId="0" fillId="9" fontId="22" numFmtId="9" xfId="0" applyAlignment="1" applyFont="1" applyNumberFormat="1">
      <alignment horizontal="center"/>
    </xf>
    <xf borderId="0" fillId="9" fontId="1" numFmtId="2" xfId="0" applyAlignment="1" applyFont="1" applyNumberFormat="1">
      <alignment horizontal="center" vertical="center"/>
    </xf>
    <xf borderId="0" fillId="9" fontId="22" numFmtId="9" xfId="0" applyAlignment="1" applyFont="1" applyNumberFormat="1">
      <alignment horizontal="center" vertical="center"/>
    </xf>
    <xf borderId="0" fillId="9" fontId="22" numFmtId="167" xfId="0" applyAlignment="1" applyFont="1" applyNumberFormat="1">
      <alignment horizontal="center" vertical="center"/>
    </xf>
    <xf borderId="0" fillId="0" fontId="21" numFmtId="0" xfId="0" applyFont="1"/>
    <xf borderId="0" fillId="0" fontId="21" numFmtId="167" xfId="0" applyAlignment="1" applyFont="1" applyNumberFormat="1">
      <alignment horizontal="center" vertical="center"/>
    </xf>
    <xf borderId="8" fillId="9" fontId="33" numFmtId="0" xfId="0" applyBorder="1" applyFont="1"/>
    <xf borderId="8" fillId="9" fontId="33" numFmtId="0" xfId="0" applyAlignment="1" applyBorder="1" applyFont="1">
      <alignment horizontal="center"/>
    </xf>
    <xf borderId="8" fillId="9" fontId="33" numFmtId="168" xfId="0" applyAlignment="1" applyBorder="1" applyFont="1" applyNumberFormat="1">
      <alignment horizontal="center"/>
    </xf>
    <xf borderId="0" fillId="34" fontId="33" numFmtId="0" xfId="0" applyAlignment="1" applyFont="1">
      <alignment horizontal="center" readingOrder="0"/>
    </xf>
    <xf borderId="0" fillId="34" fontId="20" numFmtId="0" xfId="0" applyFont="1"/>
    <xf borderId="8" fillId="42" fontId="34" numFmtId="0" xfId="0" applyBorder="1" applyFill="1" applyFont="1"/>
    <xf borderId="8" fillId="0" fontId="20" numFmtId="6" xfId="0" applyAlignment="1" applyBorder="1" applyFont="1" applyNumberFormat="1">
      <alignment horizontal="center"/>
    </xf>
    <xf borderId="8" fillId="0" fontId="20" numFmtId="5" xfId="0" applyAlignment="1" applyBorder="1" applyFont="1" applyNumberFormat="1">
      <alignment horizontal="center"/>
    </xf>
    <xf borderId="8" fillId="42" fontId="20" numFmtId="168" xfId="0" applyAlignment="1" applyBorder="1" applyFont="1" applyNumberFormat="1">
      <alignment horizontal="center"/>
    </xf>
    <xf borderId="8" fillId="0" fontId="20" numFmtId="164" xfId="0" applyAlignment="1" applyBorder="1" applyFont="1" applyNumberFormat="1">
      <alignment horizontal="center"/>
    </xf>
    <xf borderId="8" fillId="42" fontId="20" numFmtId="171" xfId="0" applyAlignment="1" applyBorder="1" applyFont="1" applyNumberFormat="1">
      <alignment horizontal="center"/>
    </xf>
    <xf borderId="8" fillId="0" fontId="20" numFmtId="173" xfId="0" applyAlignment="1" applyBorder="1" applyFont="1" applyNumberFormat="1">
      <alignment horizontal="center"/>
    </xf>
    <xf borderId="0" fillId="34" fontId="20" numFmtId="0" xfId="0" applyAlignment="1" applyFont="1">
      <alignment horizontal="center"/>
    </xf>
    <xf borderId="0" fillId="34" fontId="20" numFmtId="10" xfId="0" applyFont="1" applyNumberFormat="1"/>
    <xf borderId="8" fillId="9" fontId="33" numFmtId="174" xfId="0" applyBorder="1" applyFont="1" applyNumberFormat="1"/>
    <xf borderId="8" fillId="9" fontId="33" numFmtId="174" xfId="0" applyAlignment="1" applyBorder="1" applyFont="1" applyNumberFormat="1">
      <alignment horizontal="center"/>
    </xf>
    <xf borderId="8" fillId="9" fontId="33" numFmtId="6" xfId="0" applyAlignment="1" applyBorder="1" applyFont="1" applyNumberFormat="1">
      <alignment horizontal="center"/>
    </xf>
    <xf borderId="8" fillId="9" fontId="33" numFmtId="5" xfId="0" applyAlignment="1" applyBorder="1" applyFont="1" applyNumberFormat="1">
      <alignment horizontal="center"/>
    </xf>
    <xf borderId="8" fillId="9" fontId="33" numFmtId="10" xfId="0" applyAlignment="1" applyBorder="1" applyFont="1" applyNumberFormat="1">
      <alignment horizontal="center"/>
    </xf>
    <xf borderId="8" fillId="9" fontId="33" numFmtId="164" xfId="0" applyAlignment="1" applyBorder="1" applyFont="1" applyNumberFormat="1">
      <alignment horizontal="center"/>
    </xf>
    <xf borderId="8" fillId="9" fontId="33" numFmtId="171" xfId="0" applyAlignment="1" applyBorder="1" applyFont="1" applyNumberFormat="1">
      <alignment horizontal="center"/>
    </xf>
    <xf borderId="0" fillId="34" fontId="33" numFmtId="0" xfId="0" applyAlignment="1" applyFont="1">
      <alignment horizontal="center"/>
    </xf>
    <xf borderId="0" fillId="9" fontId="33" numFmtId="0" xfId="0" applyFont="1"/>
    <xf borderId="8" fillId="42" fontId="20" numFmtId="0" xfId="0" applyBorder="1" applyFont="1"/>
    <xf borderId="8" fillId="0" fontId="20" numFmtId="0" xfId="0" applyAlignment="1" applyBorder="1" applyFont="1">
      <alignment horizontal="center"/>
    </xf>
    <xf borderId="8" fillId="0" fontId="20" numFmtId="169" xfId="0" applyAlignment="1" applyBorder="1" applyFont="1" applyNumberFormat="1">
      <alignment horizontal="center"/>
    </xf>
    <xf borderId="8" fillId="42" fontId="20" numFmtId="169" xfId="0" applyAlignment="1" applyBorder="1" applyFont="1" applyNumberFormat="1">
      <alignment horizontal="center"/>
    </xf>
    <xf borderId="18" fillId="34" fontId="33" numFmtId="0" xfId="0" applyBorder="1" applyFont="1"/>
    <xf borderId="8" fillId="9" fontId="33" numFmtId="3" xfId="0" applyAlignment="1" applyBorder="1" applyFont="1" applyNumberFormat="1">
      <alignment horizontal="center"/>
    </xf>
    <xf borderId="8" fillId="9" fontId="33" numFmtId="169" xfId="0" applyAlignment="1" applyBorder="1" applyFont="1" applyNumberFormat="1">
      <alignment horizontal="center"/>
    </xf>
    <xf borderId="8" fillId="42" fontId="20" numFmtId="166" xfId="0" applyAlignment="1" applyBorder="1" applyFont="1" applyNumberFormat="1">
      <alignment horizontal="center"/>
    </xf>
    <xf borderId="8" fillId="34" fontId="20" numFmtId="169" xfId="0" applyAlignment="1" applyBorder="1" applyFont="1" applyNumberFormat="1">
      <alignment horizontal="center"/>
    </xf>
    <xf borderId="8" fillId="34" fontId="20" numFmtId="0" xfId="0" applyAlignment="1" applyBorder="1" applyFont="1">
      <alignment horizontal="center"/>
    </xf>
    <xf borderId="8" fillId="9" fontId="33" numFmtId="166" xfId="0" applyAlignment="1" applyBorder="1" applyFont="1" applyNumberFormat="1">
      <alignment horizontal="center"/>
    </xf>
    <xf borderId="0" fillId="0" fontId="20" numFmtId="0" xfId="0" applyAlignment="1" applyFont="1">
      <alignment readingOrder="0"/>
    </xf>
    <xf borderId="4" fillId="9" fontId="33" numFmtId="0" xfId="0" applyAlignment="1" applyBorder="1" applyFont="1">
      <alignment horizontal="center" readingOrder="0"/>
    </xf>
    <xf borderId="0" fillId="34" fontId="34" numFmtId="0" xfId="0" applyFont="1"/>
    <xf borderId="8" fillId="9" fontId="33" numFmtId="0" xfId="0" applyAlignment="1" applyBorder="1" applyFont="1">
      <alignment horizontal="center" readingOrder="0"/>
    </xf>
    <xf borderId="0" fillId="34" fontId="33" numFmtId="4" xfId="0" applyAlignment="1" applyFont="1" applyNumberFormat="1">
      <alignment horizontal="center" readingOrder="0"/>
    </xf>
    <xf borderId="8" fillId="0" fontId="20" numFmtId="0" xfId="0" applyBorder="1" applyFont="1"/>
    <xf borderId="8" fillId="0" fontId="10" numFmtId="2" xfId="0" applyAlignment="1" applyBorder="1" applyFont="1" applyNumberFormat="1">
      <alignment horizontal="center" vertical="bottom"/>
    </xf>
    <xf borderId="0" fillId="34" fontId="20" numFmtId="4" xfId="0" applyAlignment="1" applyFont="1" applyNumberFormat="1">
      <alignment horizontal="center"/>
    </xf>
    <xf borderId="8" fillId="9" fontId="6" numFmtId="2" xfId="0" applyAlignment="1" applyBorder="1" applyFont="1" applyNumberFormat="1">
      <alignment horizontal="center" vertical="bottom"/>
    </xf>
    <xf borderId="0" fillId="34" fontId="33" numFmtId="4" xfId="0" applyAlignment="1" applyFont="1" applyNumberFormat="1">
      <alignment horizontal="center"/>
    </xf>
    <xf borderId="0" fillId="34" fontId="33" numFmtId="0" xfId="0" applyAlignment="1" applyFont="1">
      <alignment readingOrder="0"/>
    </xf>
    <xf borderId="0" fillId="34" fontId="20" numFmtId="4" xfId="0" applyFont="1" applyNumberFormat="1"/>
    <xf borderId="8" fillId="10" fontId="34" numFmtId="0" xfId="0" applyBorder="1" applyFont="1"/>
    <xf borderId="8" fillId="0" fontId="20" numFmtId="168" xfId="0" applyAlignment="1" applyBorder="1" applyFont="1" applyNumberFormat="1">
      <alignment horizontal="center"/>
    </xf>
    <xf borderId="8" fillId="6" fontId="20" numFmtId="5" xfId="0" applyAlignment="1" applyBorder="1" applyFont="1" applyNumberFormat="1">
      <alignment horizontal="center"/>
    </xf>
    <xf borderId="8" fillId="6" fontId="20" numFmtId="168" xfId="0" applyAlignment="1" applyBorder="1" applyFont="1" applyNumberFormat="1">
      <alignment horizontal="center"/>
    </xf>
    <xf borderId="0" fillId="34" fontId="20" numFmtId="19" xfId="0" applyAlignment="1" applyFont="1" applyNumberFormat="1">
      <alignment horizontal="center"/>
    </xf>
    <xf borderId="8" fillId="10" fontId="20" numFmtId="0" xfId="0" applyBorder="1" applyFont="1"/>
    <xf borderId="8" fillId="0" fontId="20" numFmtId="0" xfId="0" applyAlignment="1" applyBorder="1" applyFont="1">
      <alignment horizontal="center" readingOrder="0"/>
    </xf>
    <xf borderId="8" fillId="34" fontId="20" numFmtId="1" xfId="0" applyAlignment="1" applyBorder="1" applyFont="1" applyNumberFormat="1">
      <alignment horizontal="center" readingOrder="0"/>
    </xf>
    <xf borderId="8" fillId="10" fontId="20" numFmtId="0" xfId="0" applyAlignment="1" applyBorder="1" applyFont="1">
      <alignment horizontal="center" readingOrder="0"/>
    </xf>
    <xf borderId="8" fillId="10" fontId="20" numFmtId="169" xfId="0" applyAlignment="1" applyBorder="1" applyFont="1" applyNumberFormat="1">
      <alignment horizontal="center" readingOrder="0"/>
    </xf>
    <xf borderId="8" fillId="34" fontId="20" numFmtId="169" xfId="0" applyAlignment="1" applyBorder="1" applyFont="1" applyNumberFormat="1">
      <alignment horizontal="center" readingOrder="0"/>
    </xf>
    <xf borderId="8" fillId="9" fontId="33" numFmtId="3" xfId="0" applyBorder="1" applyFont="1" applyNumberFormat="1"/>
    <xf borderId="8" fillId="9" fontId="33" numFmtId="166" xfId="0" applyBorder="1" applyFont="1" applyNumberFormat="1"/>
    <xf borderId="8" fillId="0" fontId="20" numFmtId="166" xfId="0" applyAlignment="1" applyBorder="1" applyFont="1" applyNumberFormat="1">
      <alignment horizontal="center" readingOrder="0"/>
    </xf>
    <xf borderId="8" fillId="10" fontId="20" numFmtId="164" xfId="0" applyBorder="1" applyFont="1" applyNumberFormat="1"/>
    <xf borderId="8" fillId="9" fontId="33" numFmtId="169" xfId="0" applyBorder="1" applyFont="1" applyNumberFormat="1"/>
    <xf borderId="8" fillId="9" fontId="33" numFmtId="164" xfId="0" applyBorder="1" applyFont="1" applyNumberFormat="1"/>
    <xf borderId="4" fillId="9" fontId="33" numFmtId="0" xfId="0" applyAlignment="1" applyBorder="1" applyFont="1">
      <alignment readingOrder="0"/>
    </xf>
    <xf borderId="0" fillId="34" fontId="33" numFmtId="0" xfId="0" applyFont="1"/>
    <xf borderId="8" fillId="0" fontId="31" numFmtId="0" xfId="0" applyAlignment="1" applyBorder="1" applyFont="1">
      <alignment horizontal="center" vertical="bottom"/>
    </xf>
    <xf borderId="8" fillId="34" fontId="20" numFmtId="0" xfId="0" applyAlignment="1" applyBorder="1" applyFont="1">
      <alignment horizontal="center" readingOrder="0"/>
    </xf>
    <xf borderId="8" fillId="34" fontId="34" numFmtId="0" xfId="0" applyAlignment="1" applyBorder="1" applyFont="1">
      <alignment horizontal="center" readingOrder="0"/>
    </xf>
    <xf borderId="0" fillId="34" fontId="33" numFmtId="3" xfId="0" applyFont="1" applyNumberFormat="1"/>
    <xf borderId="8" fillId="0" fontId="20" numFmtId="171" xfId="0" applyAlignment="1" applyBorder="1" applyFont="1" applyNumberFormat="1">
      <alignment horizontal="center"/>
    </xf>
    <xf borderId="8" fillId="9" fontId="6" numFmtId="3" xfId="0" applyAlignment="1" applyBorder="1" applyFont="1" applyNumberFormat="1">
      <alignment horizontal="right" vertical="bottom"/>
    </xf>
    <xf borderId="8" fillId="9" fontId="6" numFmtId="166" xfId="0" applyAlignment="1" applyBorder="1" applyFont="1" applyNumberFormat="1">
      <alignment horizontal="right" vertical="bottom"/>
    </xf>
    <xf borderId="8" fillId="9" fontId="10" numFmtId="0" xfId="0" applyAlignment="1" applyBorder="1" applyFont="1">
      <alignment vertical="bottom"/>
    </xf>
    <xf borderId="8" fillId="9" fontId="10" numFmtId="169" xfId="0" applyAlignment="1" applyBorder="1" applyFont="1" applyNumberFormat="1">
      <alignment vertical="bottom"/>
    </xf>
    <xf borderId="8" fillId="9" fontId="6" numFmtId="164" xfId="0" applyAlignment="1" applyBorder="1" applyFont="1" applyNumberFormat="1">
      <alignment horizontal="right" vertical="bottom"/>
    </xf>
    <xf borderId="8" fillId="9" fontId="33" numFmtId="0" xfId="0" applyAlignment="1" applyBorder="1" applyFont="1">
      <alignment readingOrder="0"/>
    </xf>
    <xf borderId="8" fillId="34" fontId="20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3f850eee-b689-40c4-9936-a86c42a303f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3f850eee-b689-40c4-9936-a86c42a303f5}" id="{327d0cb7-7f4e-4304-99be-4eea8cf49fc2}" done="0">
    <x18tc:text xml:space="preserve">Contributor band restrains in weekly store scorecard sheet need to be updated</x18tc:text>
  </x18tc:threadedComment>
  <x18tc:threadedComment ref="C1" dT="2026-03-18T14:35:44.00" personId="{3f850eee-b689-40c4-9936-a86c42a303f5}" id="{2f7f8f23-4427-47ac-b2da-62dcbbda965e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3f850eee-b689-40c4-9936-a86c42a303f5}" id="{c81b532e-ac63-40c2-aa8b-4285b15cd96a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3f850eee-b689-40c4-9936-a86c42a303f5}" id="{c8f0c1ac-ffe9-416f-94e9-a19aea05035b}" done="0">
    <x18tc:text xml:space="preserve">Dummy Data, Auto engine will be set up once we have the actual source sorted</x18tc:text>
  </x18tc:threadedComment>
  <x18tc:threadedComment ref="AA1" dT="2026-03-12T12:45:35.00" personId="{3f850eee-b689-40c4-9936-a86c42a303f5}" id="{9c2260e1-a154-4e5b-b558-b2abfef646ed}" done="0">
    <x18tc:text xml:space="preserve">added value to the formula to take actual numeric values</x18tc:text>
  </x18tc:threadedComment>
  <x18tc:threadedComment ref="U1" dT="2026-03-12T12:24:21.00" personId="{3f850eee-b689-40c4-9936-a86c42a303f5}" id="{583ff31e-94cc-4b15-ae1f-c0c86399aab1}" done="0">
    <x18tc:text xml:space="preserve">Added NA to formula</x18tc:text>
  </x18tc:threadedComment>
  <x18tc:threadedComment ref="E1" dT="2026-03-12T11:47:10.00" personId="{3f850eee-b689-40c4-9936-a86c42a303f5}" id="{5ba22620-7042-4cfb-8497-a85088a4094d}" done="0">
    <x18tc:text xml:space="preserve">100% + Var%LY</x18tc:text>
  </x18tc:threadedComment>
  <x18tc:threadedComment ref="X1" dT="2026-03-12T12:24:36.00" personId="{3f850eee-b689-40c4-9936-a86c42a303f5}" id="{0c24c12a-867f-40d1-86e2-ae361fa4eb44}" done="0">
    <x18tc:text xml:space="preserve">Added %s</x18tc:text>
  </x18tc:threadedComment>
  <x18tc:threadedComment ref="F1" dT="2026-03-12T11:47:34.00" personId="{3f850eee-b689-40c4-9936-a86c42a303f5}" id="{4ed2a027-b759-4173-9fc1-267ea5f48168}" done="0">
    <x18tc:text xml:space="preserve">Added %s</x18tc:text>
  </x18tc:threadedComment>
  <x18tc:threadedComment ref="B1" dT="2026-03-12T11:46:07.00" personId="{3f850eee-b689-40c4-9936-a86c42a303f5}" id="{ab1c774a-ed80-434e-b7a2-9f655470056a}" done="0">
    <x18tc:text xml:space="preserve">100%+var%bud</x18tc:text>
  </x18tc:threadedComment>
  <x18tc:threadedComment ref="AQ1" dT="2026-03-18T10:16:38.00" personId="{3f850eee-b689-40c4-9936-a86c42a303f5}" id="{a04c831f-983d-4769-856b-87f4f8e52ad6}" done="0">
    <x18tc:text xml:space="preserve">Removed Columns post AQ as per Trey's request</x18tc:text>
  </x18tc:threadedComment>
  <x18tc:threadedComment ref="C1" dT="2026-03-12T11:46:33.00" personId="{3f850eee-b689-40c4-9936-a86c42a303f5}" id="{310dc3cc-c756-40d4-8cb6-ca3a969fd1cc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idden="1">
      <c r="A2" s="4" t="s">
        <v>9</v>
      </c>
      <c r="B2" s="4" t="s">
        <v>10</v>
      </c>
      <c r="C2" s="5">
        <v>5.0</v>
      </c>
      <c r="D2" s="6" t="s">
        <v>11</v>
      </c>
      <c r="E2" s="7" t="s">
        <v>12</v>
      </c>
      <c r="F2" s="8" t="s">
        <v>13</v>
      </c>
      <c r="G2" s="9" t="s">
        <v>14</v>
      </c>
      <c r="H2" s="10" t="s">
        <v>15</v>
      </c>
      <c r="I2" s="11" t="s">
        <v>16</v>
      </c>
      <c r="J2" s="12">
        <v>5.9</v>
      </c>
      <c r="K2" s="13">
        <v>6.0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idden="1">
      <c r="A3" s="4" t="s">
        <v>9</v>
      </c>
      <c r="B3" s="4" t="s">
        <v>17</v>
      </c>
      <c r="C3" s="5">
        <v>5.0</v>
      </c>
      <c r="D3" s="6" t="s">
        <v>18</v>
      </c>
      <c r="E3" s="7" t="s">
        <v>19</v>
      </c>
      <c r="F3" s="8" t="s">
        <v>20</v>
      </c>
      <c r="G3" s="9" t="s">
        <v>21</v>
      </c>
      <c r="H3" s="10" t="s">
        <v>22</v>
      </c>
      <c r="I3" s="11" t="s">
        <v>23</v>
      </c>
      <c r="J3" s="12">
        <v>5.9</v>
      </c>
      <c r="K3" s="13">
        <v>6.0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idden="1">
      <c r="A4" s="4" t="s">
        <v>24</v>
      </c>
      <c r="B4" s="4" t="s">
        <v>25</v>
      </c>
      <c r="C4" s="5">
        <v>15.0</v>
      </c>
      <c r="D4" s="6" t="s">
        <v>26</v>
      </c>
      <c r="E4" s="7" t="s">
        <v>27</v>
      </c>
      <c r="F4" s="8" t="s">
        <v>28</v>
      </c>
      <c r="G4" s="9" t="s">
        <v>29</v>
      </c>
      <c r="H4" s="10" t="s">
        <v>30</v>
      </c>
      <c r="I4" s="14" t="s">
        <v>31</v>
      </c>
      <c r="J4" s="1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idden="1">
      <c r="A5" s="4" t="s">
        <v>32</v>
      </c>
      <c r="B5" s="4" t="s">
        <v>33</v>
      </c>
      <c r="C5" s="5">
        <v>12.5</v>
      </c>
      <c r="D5" s="6" t="s">
        <v>34</v>
      </c>
      <c r="E5" s="15" t="s">
        <v>35</v>
      </c>
      <c r="F5" s="16" t="s">
        <v>36</v>
      </c>
      <c r="G5" s="17" t="s">
        <v>37</v>
      </c>
      <c r="H5" s="10" t="s">
        <v>38</v>
      </c>
      <c r="I5" s="11" t="s">
        <v>39</v>
      </c>
      <c r="J5" s="18">
        <v>14.7</v>
      </c>
      <c r="K5" s="13">
        <v>14.5</v>
      </c>
      <c r="L5" s="19" t="s">
        <v>40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idden="1">
      <c r="A6" s="4" t="s">
        <v>32</v>
      </c>
      <c r="B6" s="4" t="s">
        <v>41</v>
      </c>
      <c r="C6" s="5">
        <v>12.5</v>
      </c>
      <c r="D6" s="6" t="s">
        <v>34</v>
      </c>
      <c r="E6" s="15" t="s">
        <v>35</v>
      </c>
      <c r="F6" s="16" t="s">
        <v>36</v>
      </c>
      <c r="G6" s="17" t="s">
        <v>37</v>
      </c>
      <c r="H6" s="20" t="s">
        <v>42</v>
      </c>
      <c r="I6" s="11" t="s">
        <v>39</v>
      </c>
      <c r="J6" s="21">
        <v>14.7</v>
      </c>
      <c r="K6" s="13">
        <v>14.5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idden="1">
      <c r="A7" s="4" t="s">
        <v>43</v>
      </c>
      <c r="B7" s="4" t="s">
        <v>44</v>
      </c>
      <c r="C7" s="5">
        <v>17.5</v>
      </c>
      <c r="D7" s="6" t="s">
        <v>45</v>
      </c>
      <c r="E7" s="15" t="s">
        <v>46</v>
      </c>
      <c r="F7" s="16" t="s">
        <v>47</v>
      </c>
      <c r="G7" s="17" t="s">
        <v>48</v>
      </c>
      <c r="H7" s="20" t="s">
        <v>49</v>
      </c>
      <c r="I7" s="11" t="s">
        <v>50</v>
      </c>
      <c r="J7" s="21">
        <v>20.6</v>
      </c>
      <c r="K7" s="13">
        <v>20.5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idden="1">
      <c r="A8" s="4" t="s">
        <v>43</v>
      </c>
      <c r="B8" s="4" t="s">
        <v>51</v>
      </c>
      <c r="C8" s="5">
        <v>7.5</v>
      </c>
      <c r="D8" s="6" t="s">
        <v>45</v>
      </c>
      <c r="E8" s="15" t="s">
        <v>46</v>
      </c>
      <c r="F8" s="16" t="s">
        <v>47</v>
      </c>
      <c r="G8" s="17" t="s">
        <v>48</v>
      </c>
      <c r="H8" s="20" t="s">
        <v>49</v>
      </c>
      <c r="I8" s="11" t="s">
        <v>50</v>
      </c>
      <c r="J8" s="21">
        <v>8.8</v>
      </c>
      <c r="K8" s="13">
        <v>8.5</v>
      </c>
      <c r="L8" s="3"/>
      <c r="M8" s="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idden="1">
      <c r="A9" s="4" t="s">
        <v>43</v>
      </c>
      <c r="B9" s="4" t="s">
        <v>52</v>
      </c>
      <c r="C9" s="5">
        <v>10.0</v>
      </c>
      <c r="D9" s="6" t="s">
        <v>53</v>
      </c>
      <c r="E9" s="15" t="s">
        <v>54</v>
      </c>
      <c r="F9" s="16" t="s">
        <v>55</v>
      </c>
      <c r="G9" s="17" t="s">
        <v>56</v>
      </c>
      <c r="H9" s="20" t="s">
        <v>57</v>
      </c>
      <c r="I9" s="11" t="s">
        <v>58</v>
      </c>
      <c r="J9" s="21">
        <v>11.8</v>
      </c>
      <c r="K9" s="13">
        <v>12.0</v>
      </c>
      <c r="L9" s="3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idden="1">
      <c r="A10" s="4" t="s">
        <v>43</v>
      </c>
      <c r="B10" s="4" t="s">
        <v>59</v>
      </c>
      <c r="C10" s="5">
        <v>7.5</v>
      </c>
      <c r="D10" s="6" t="s">
        <v>60</v>
      </c>
      <c r="E10" s="15" t="s">
        <v>61</v>
      </c>
      <c r="F10" s="16" t="s">
        <v>62</v>
      </c>
      <c r="G10" s="17" t="s">
        <v>63</v>
      </c>
      <c r="H10" s="20" t="s">
        <v>64</v>
      </c>
      <c r="I10" s="11" t="s">
        <v>65</v>
      </c>
      <c r="J10" s="21">
        <v>8.8</v>
      </c>
      <c r="K10" s="13">
        <v>9.0</v>
      </c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idden="1">
      <c r="A11" s="4" t="s">
        <v>43</v>
      </c>
      <c r="B11" s="4" t="s">
        <v>66</v>
      </c>
      <c r="C11" s="5">
        <v>7.5</v>
      </c>
      <c r="D11" s="6" t="s">
        <v>45</v>
      </c>
      <c r="E11" s="15" t="s">
        <v>46</v>
      </c>
      <c r="F11" s="16" t="s">
        <v>47</v>
      </c>
      <c r="G11" s="17" t="s">
        <v>48</v>
      </c>
      <c r="H11" s="20" t="s">
        <v>49</v>
      </c>
      <c r="I11" s="11" t="s">
        <v>50</v>
      </c>
      <c r="J11" s="21">
        <v>8.8</v>
      </c>
      <c r="K11" s="13">
        <v>9.0</v>
      </c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hidden="1">
      <c r="A12" s="4" t="s">
        <v>43</v>
      </c>
      <c r="B12" s="4" t="s">
        <v>67</v>
      </c>
      <c r="C12" s="5">
        <v>12.5</v>
      </c>
      <c r="D12" s="6" t="s">
        <v>68</v>
      </c>
      <c r="E12" s="15" t="s">
        <v>69</v>
      </c>
      <c r="F12" s="16" t="s">
        <v>70</v>
      </c>
      <c r="G12" s="17" t="s">
        <v>71</v>
      </c>
      <c r="H12" s="20" t="s">
        <v>72</v>
      </c>
      <c r="I12" s="11" t="s">
        <v>73</v>
      </c>
      <c r="J12" s="3"/>
      <c r="K12" s="3"/>
      <c r="L12" s="3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hidden="1">
      <c r="A13" s="4" t="s">
        <v>43</v>
      </c>
      <c r="B13" s="4" t="s">
        <v>74</v>
      </c>
      <c r="C13" s="5">
        <v>6.25</v>
      </c>
      <c r="D13" s="6" t="s">
        <v>68</v>
      </c>
      <c r="E13" s="15" t="s">
        <v>69</v>
      </c>
      <c r="F13" s="16" t="s">
        <v>70</v>
      </c>
      <c r="G13" s="17" t="s">
        <v>71</v>
      </c>
      <c r="H13" s="20" t="s">
        <v>72</v>
      </c>
      <c r="I13" s="11" t="s">
        <v>73</v>
      </c>
      <c r="J13" s="3"/>
      <c r="K13" s="3"/>
      <c r="L13" s="3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hidden="1">
      <c r="A14" s="4" t="s">
        <v>75</v>
      </c>
      <c r="B14" s="4" t="s">
        <v>76</v>
      </c>
      <c r="C14" s="5">
        <v>0.0</v>
      </c>
      <c r="D14" s="6"/>
      <c r="E14" s="15" t="s">
        <v>77</v>
      </c>
      <c r="F14" s="16"/>
      <c r="G14" s="17" t="s">
        <v>78</v>
      </c>
      <c r="H14" s="20"/>
      <c r="I14" s="11"/>
      <c r="J14" s="3"/>
      <c r="K14" s="3"/>
      <c r="L14" s="3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idden="1">
      <c r="A15" s="3"/>
      <c r="B15" s="3"/>
      <c r="C15" s="22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idden="1">
      <c r="A16" s="3"/>
      <c r="B16" s="3"/>
      <c r="C16" s="22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23"/>
      <c r="AT16" s="3"/>
    </row>
    <row r="17">
      <c r="A17" s="24"/>
      <c r="B17" s="24"/>
      <c r="C17" s="22"/>
      <c r="D17" s="25"/>
      <c r="E17" s="24"/>
      <c r="F17" s="24"/>
      <c r="G17" s="25"/>
      <c r="H17" s="24"/>
      <c r="I17" s="24"/>
      <c r="J17" s="26"/>
      <c r="K17" s="24"/>
      <c r="L17" s="24"/>
      <c r="M17" s="26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7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</row>
    <row r="18">
      <c r="A18" s="28" t="s">
        <v>79</v>
      </c>
      <c r="B18" s="29"/>
      <c r="C18" s="29"/>
      <c r="D18" s="29"/>
      <c r="E18" s="29"/>
      <c r="F18" s="29"/>
      <c r="G18" s="29"/>
      <c r="H18" s="29"/>
      <c r="I18" s="29"/>
      <c r="J18" s="26"/>
      <c r="K18" s="30" t="s">
        <v>80</v>
      </c>
      <c r="L18" s="31"/>
      <c r="M18" s="32"/>
      <c r="N18" s="24"/>
      <c r="O18" s="24"/>
      <c r="P18" s="3"/>
      <c r="Q18" s="24"/>
      <c r="R18" s="24"/>
      <c r="S18" s="3"/>
      <c r="T18" s="24"/>
      <c r="U18" s="24"/>
      <c r="V18" s="22"/>
      <c r="W18" s="24"/>
      <c r="X18" s="24"/>
      <c r="Y18" s="27"/>
      <c r="Z18" s="24"/>
      <c r="AA18" s="24"/>
      <c r="AB18" s="33"/>
      <c r="AC18" s="24"/>
      <c r="AD18" s="24"/>
      <c r="AE18" s="34"/>
      <c r="AF18" s="24"/>
      <c r="AG18" s="24"/>
      <c r="AH18" s="34"/>
      <c r="AI18" s="24"/>
      <c r="AJ18" s="24"/>
      <c r="AK18" s="34"/>
      <c r="AL18" s="24"/>
      <c r="AM18" s="24"/>
      <c r="AN18" s="34"/>
      <c r="AO18" s="25"/>
      <c r="AP18" s="24"/>
      <c r="AQ18" s="35"/>
      <c r="AR18" s="24"/>
      <c r="AS18" s="36"/>
      <c r="AT18" s="36"/>
    </row>
    <row r="19">
      <c r="A19" s="37" t="s">
        <v>0</v>
      </c>
      <c r="B19" s="37" t="s">
        <v>1</v>
      </c>
      <c r="C19" s="38" t="s">
        <v>2</v>
      </c>
      <c r="D19" s="37">
        <v>0.0</v>
      </c>
      <c r="E19" s="37">
        <v>1.0</v>
      </c>
      <c r="F19" s="37">
        <v>2.0</v>
      </c>
      <c r="G19" s="37" t="s">
        <v>6</v>
      </c>
      <c r="H19" s="37" t="s">
        <v>7</v>
      </c>
      <c r="I19" s="37" t="s">
        <v>8</v>
      </c>
      <c r="J19" s="3"/>
      <c r="K19" s="39" t="s">
        <v>81</v>
      </c>
      <c r="L19" s="39" t="s">
        <v>82</v>
      </c>
      <c r="M19" s="39" t="s">
        <v>83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40" t="s">
        <v>9</v>
      </c>
      <c r="B20" s="41" t="s">
        <v>10</v>
      </c>
      <c r="C20" s="42">
        <v>0.06</v>
      </c>
      <c r="D20" s="43" t="s">
        <v>11</v>
      </c>
      <c r="E20" s="44" t="s">
        <v>84</v>
      </c>
      <c r="F20" s="45" t="s">
        <v>13</v>
      </c>
      <c r="G20" s="46" t="s">
        <v>14</v>
      </c>
      <c r="H20" s="47" t="s">
        <v>15</v>
      </c>
      <c r="I20" s="48" t="s">
        <v>31</v>
      </c>
      <c r="J20" s="26"/>
      <c r="K20" s="49" t="s">
        <v>85</v>
      </c>
      <c r="L20" s="50" t="s">
        <v>86</v>
      </c>
      <c r="M20" s="51"/>
      <c r="N20" s="24"/>
      <c r="O20" s="24"/>
      <c r="P20" s="3"/>
      <c r="Q20" s="24"/>
      <c r="R20" s="24"/>
      <c r="S20" s="3"/>
      <c r="T20" s="24"/>
      <c r="U20" s="24"/>
      <c r="V20" s="22"/>
      <c r="W20" s="24"/>
      <c r="X20" s="24"/>
      <c r="Y20" s="27"/>
      <c r="Z20" s="24"/>
      <c r="AA20" s="24"/>
      <c r="AB20" s="33"/>
      <c r="AC20" s="24"/>
      <c r="AD20" s="24"/>
      <c r="AE20" s="34"/>
      <c r="AF20" s="24"/>
      <c r="AG20" s="24"/>
      <c r="AH20" s="34"/>
      <c r="AI20" s="24"/>
      <c r="AJ20" s="24"/>
      <c r="AK20" s="34"/>
      <c r="AL20" s="24"/>
      <c r="AM20" s="24"/>
      <c r="AN20" s="34"/>
      <c r="AO20" s="25"/>
      <c r="AP20" s="24"/>
      <c r="AQ20" s="35"/>
      <c r="AR20" s="24"/>
      <c r="AS20" s="36"/>
      <c r="AT20" s="36"/>
    </row>
    <row r="21">
      <c r="A21" s="52"/>
      <c r="B21" s="53" t="s">
        <v>87</v>
      </c>
      <c r="C21" s="54"/>
      <c r="D21" s="55" t="s">
        <v>88</v>
      </c>
      <c r="E21" s="56" t="s">
        <v>89</v>
      </c>
      <c r="F21" s="56" t="s">
        <v>90</v>
      </c>
      <c r="G21" s="55" t="s">
        <v>91</v>
      </c>
      <c r="H21" s="56" t="s">
        <v>92</v>
      </c>
      <c r="I21" s="56">
        <v>5.0</v>
      </c>
      <c r="J21" s="26"/>
      <c r="K21" s="49" t="s">
        <v>93</v>
      </c>
      <c r="L21" s="50" t="s">
        <v>94</v>
      </c>
      <c r="M21" s="57"/>
      <c r="N21" s="24"/>
      <c r="O21" s="24"/>
      <c r="P21" s="3"/>
      <c r="Q21" s="24"/>
      <c r="R21" s="24"/>
      <c r="S21" s="3"/>
      <c r="T21" s="24"/>
      <c r="U21" s="24"/>
      <c r="V21" s="22"/>
      <c r="W21" s="24"/>
      <c r="X21" s="24"/>
      <c r="Y21" s="27"/>
      <c r="Z21" s="24"/>
      <c r="AA21" s="24"/>
      <c r="AB21" s="33"/>
      <c r="AC21" s="24"/>
      <c r="AD21" s="24"/>
      <c r="AE21" s="34"/>
      <c r="AF21" s="24"/>
      <c r="AG21" s="24"/>
      <c r="AH21" s="34"/>
      <c r="AI21" s="24"/>
      <c r="AJ21" s="24"/>
      <c r="AK21" s="34"/>
      <c r="AL21" s="24"/>
      <c r="AM21" s="24"/>
      <c r="AN21" s="34"/>
      <c r="AO21" s="25"/>
      <c r="AP21" s="24"/>
      <c r="AQ21" s="35"/>
      <c r="AR21" s="24"/>
      <c r="AS21" s="36"/>
      <c r="AT21" s="36"/>
    </row>
    <row r="22">
      <c r="A22" s="58"/>
      <c r="B22" s="41" t="s">
        <v>17</v>
      </c>
      <c r="C22" s="42">
        <v>0.06</v>
      </c>
      <c r="D22" s="43" t="s">
        <v>95</v>
      </c>
      <c r="E22" s="44" t="s">
        <v>96</v>
      </c>
      <c r="F22" s="45" t="s">
        <v>97</v>
      </c>
      <c r="G22" s="46" t="s">
        <v>98</v>
      </c>
      <c r="H22" s="47" t="s">
        <v>99</v>
      </c>
      <c r="I22" s="48" t="s">
        <v>23</v>
      </c>
      <c r="J22" s="26"/>
      <c r="K22" s="49" t="s">
        <v>100</v>
      </c>
      <c r="L22" s="50" t="s">
        <v>101</v>
      </c>
      <c r="M22" s="59"/>
      <c r="N22" s="24"/>
      <c r="O22" s="24"/>
      <c r="P22" s="3"/>
      <c r="Q22" s="24"/>
      <c r="R22" s="24"/>
      <c r="S22" s="3"/>
      <c r="T22" s="24"/>
      <c r="U22" s="24"/>
      <c r="V22" s="22"/>
      <c r="W22" s="24"/>
      <c r="X22" s="24"/>
      <c r="Y22" s="27"/>
      <c r="Z22" s="24"/>
      <c r="AA22" s="24"/>
      <c r="AB22" s="33"/>
      <c r="AC22" s="24"/>
      <c r="AD22" s="24"/>
      <c r="AE22" s="34"/>
      <c r="AF22" s="24"/>
      <c r="AG22" s="24"/>
      <c r="AH22" s="34"/>
      <c r="AI22" s="24"/>
      <c r="AJ22" s="24"/>
      <c r="AK22" s="34"/>
      <c r="AL22" s="24"/>
      <c r="AM22" s="24"/>
      <c r="AN22" s="34"/>
      <c r="AO22" s="25"/>
      <c r="AP22" s="24"/>
      <c r="AQ22" s="35"/>
      <c r="AR22" s="24"/>
      <c r="AS22" s="36"/>
      <c r="AT22" s="36"/>
    </row>
    <row r="23" ht="15.75" customHeight="1">
      <c r="A23" s="52"/>
      <c r="B23" s="53" t="s">
        <v>87</v>
      </c>
      <c r="C23" s="54"/>
      <c r="D23" s="56" t="s">
        <v>88</v>
      </c>
      <c r="E23" s="56" t="s">
        <v>89</v>
      </c>
      <c r="F23" s="56" t="s">
        <v>90</v>
      </c>
      <c r="G23" s="56" t="s">
        <v>91</v>
      </c>
      <c r="H23" s="56" t="s">
        <v>92</v>
      </c>
      <c r="I23" s="56">
        <v>5.0</v>
      </c>
      <c r="J23" s="3"/>
      <c r="K23" s="60" t="s">
        <v>102</v>
      </c>
      <c r="L23" s="61" t="s">
        <v>103</v>
      </c>
      <c r="M23" s="6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5.75" customHeight="1">
      <c r="A24" s="63" t="s">
        <v>32</v>
      </c>
      <c r="B24" s="64" t="s">
        <v>33</v>
      </c>
      <c r="C24" s="42">
        <v>0.145</v>
      </c>
      <c r="D24" s="65" t="s">
        <v>34</v>
      </c>
      <c r="E24" s="44" t="s">
        <v>104</v>
      </c>
      <c r="F24" s="45" t="s">
        <v>105</v>
      </c>
      <c r="G24" s="66" t="s">
        <v>106</v>
      </c>
      <c r="H24" s="47" t="s">
        <v>107</v>
      </c>
      <c r="I24" s="48" t="s">
        <v>108</v>
      </c>
      <c r="J24" s="3"/>
      <c r="K24" s="60" t="s">
        <v>109</v>
      </c>
      <c r="L24" s="61" t="s">
        <v>110</v>
      </c>
      <c r="M24" s="6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5.75" customHeight="1">
      <c r="A25" s="68"/>
      <c r="B25" s="53" t="s">
        <v>87</v>
      </c>
      <c r="C25" s="69"/>
      <c r="D25" s="56" t="s">
        <v>88</v>
      </c>
      <c r="E25" s="56" t="s">
        <v>89</v>
      </c>
      <c r="F25" s="56" t="s">
        <v>90</v>
      </c>
      <c r="G25" s="56" t="s">
        <v>91</v>
      </c>
      <c r="H25" s="56" t="s">
        <v>92</v>
      </c>
      <c r="I25" s="56">
        <v>5.0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5.75" customHeight="1">
      <c r="A26" s="68"/>
      <c r="B26" s="64" t="s">
        <v>41</v>
      </c>
      <c r="C26" s="42">
        <v>0.145</v>
      </c>
      <c r="D26" s="65" t="s">
        <v>34</v>
      </c>
      <c r="E26" s="44" t="s">
        <v>111</v>
      </c>
      <c r="F26" s="45" t="s">
        <v>105</v>
      </c>
      <c r="G26" s="66" t="s">
        <v>106</v>
      </c>
      <c r="H26" s="47" t="s">
        <v>107</v>
      </c>
      <c r="I26" s="48" t="s">
        <v>108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5.75" customHeight="1">
      <c r="A27" s="68"/>
      <c r="B27" s="53" t="s">
        <v>87</v>
      </c>
      <c r="C27" s="54"/>
      <c r="D27" s="56" t="s">
        <v>88</v>
      </c>
      <c r="E27" s="56" t="s">
        <v>89</v>
      </c>
      <c r="F27" s="56" t="s">
        <v>90</v>
      </c>
      <c r="G27" s="56" t="s">
        <v>91</v>
      </c>
      <c r="H27" s="56" t="s">
        <v>92</v>
      </c>
      <c r="I27" s="56">
        <v>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5.75" customHeight="1">
      <c r="A28" s="70" t="s">
        <v>43</v>
      </c>
      <c r="B28" s="71" t="s">
        <v>44</v>
      </c>
      <c r="C28" s="42">
        <v>0.29</v>
      </c>
      <c r="D28" s="65" t="s">
        <v>45</v>
      </c>
      <c r="E28" s="44" t="s">
        <v>112</v>
      </c>
      <c r="F28" s="45" t="s">
        <v>47</v>
      </c>
      <c r="G28" s="66" t="s">
        <v>48</v>
      </c>
      <c r="H28" s="47" t="s">
        <v>49</v>
      </c>
      <c r="I28" s="48" t="s">
        <v>50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5.75" customHeight="1">
      <c r="A29" s="72"/>
      <c r="B29" s="53" t="s">
        <v>87</v>
      </c>
      <c r="C29" s="54"/>
      <c r="D29" s="56" t="s">
        <v>88</v>
      </c>
      <c r="E29" s="56" t="s">
        <v>89</v>
      </c>
      <c r="F29" s="56" t="s">
        <v>90</v>
      </c>
      <c r="G29" s="56" t="s">
        <v>91</v>
      </c>
      <c r="H29" s="56" t="s">
        <v>92</v>
      </c>
      <c r="I29" s="56">
        <v>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5.75" customHeight="1">
      <c r="A30" s="73"/>
      <c r="B30" s="71" t="s">
        <v>52</v>
      </c>
      <c r="C30" s="42">
        <v>0.12</v>
      </c>
      <c r="D30" s="65" t="s">
        <v>53</v>
      </c>
      <c r="E30" s="44" t="s">
        <v>54</v>
      </c>
      <c r="F30" s="45" t="s">
        <v>55</v>
      </c>
      <c r="G30" s="66" t="s">
        <v>56</v>
      </c>
      <c r="H30" s="47" t="s">
        <v>57</v>
      </c>
      <c r="I30" s="48" t="s">
        <v>58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ht="15.75" customHeight="1">
      <c r="A31" s="73"/>
      <c r="B31" s="53" t="s">
        <v>87</v>
      </c>
      <c r="C31" s="54"/>
      <c r="D31" s="56" t="s">
        <v>88</v>
      </c>
      <c r="E31" s="56" t="s">
        <v>89</v>
      </c>
      <c r="F31" s="56" t="s">
        <v>90</v>
      </c>
      <c r="G31" s="56" t="s">
        <v>91</v>
      </c>
      <c r="H31" s="56" t="s">
        <v>92</v>
      </c>
      <c r="I31" s="56">
        <v>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ht="15.75" customHeight="1">
      <c r="A32" s="73"/>
      <c r="B32" s="71" t="s">
        <v>59</v>
      </c>
      <c r="C32" s="42">
        <v>0.09</v>
      </c>
      <c r="D32" s="65" t="s">
        <v>60</v>
      </c>
      <c r="E32" s="44" t="s">
        <v>113</v>
      </c>
      <c r="F32" s="45" t="s">
        <v>114</v>
      </c>
      <c r="G32" s="66" t="s">
        <v>115</v>
      </c>
      <c r="H32" s="47" t="s">
        <v>116</v>
      </c>
      <c r="I32" s="48" t="s">
        <v>65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ht="15.75" customHeight="1">
      <c r="A33" s="73"/>
      <c r="B33" s="53" t="s">
        <v>87</v>
      </c>
      <c r="C33" s="54"/>
      <c r="D33" s="56" t="s">
        <v>88</v>
      </c>
      <c r="E33" s="56" t="s">
        <v>89</v>
      </c>
      <c r="F33" s="56" t="s">
        <v>90</v>
      </c>
      <c r="G33" s="56" t="s">
        <v>91</v>
      </c>
      <c r="H33" s="56" t="s">
        <v>92</v>
      </c>
      <c r="I33" s="56">
        <v>5.0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ht="15.75" customHeight="1">
      <c r="A34" s="73"/>
      <c r="B34" s="71" t="s">
        <v>66</v>
      </c>
      <c r="C34" s="42">
        <v>0.09</v>
      </c>
      <c r="D34" s="65" t="s">
        <v>45</v>
      </c>
      <c r="E34" s="44" t="s">
        <v>112</v>
      </c>
      <c r="F34" s="45" t="s">
        <v>47</v>
      </c>
      <c r="G34" s="66" t="s">
        <v>48</v>
      </c>
      <c r="H34" s="47" t="s">
        <v>49</v>
      </c>
      <c r="I34" s="48" t="s">
        <v>50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ht="15.75" customHeight="1">
      <c r="A35" s="73"/>
      <c r="B35" s="53" t="s">
        <v>87</v>
      </c>
      <c r="C35" s="54"/>
      <c r="D35" s="56" t="s">
        <v>88</v>
      </c>
      <c r="E35" s="56" t="s">
        <v>89</v>
      </c>
      <c r="F35" s="56" t="s">
        <v>90</v>
      </c>
      <c r="G35" s="56" t="s">
        <v>91</v>
      </c>
      <c r="H35" s="56" t="s">
        <v>92</v>
      </c>
      <c r="I35" s="56">
        <v>5.0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ht="15.75" customHeight="1">
      <c r="A36" s="74" t="s">
        <v>117</v>
      </c>
      <c r="B36" s="29"/>
      <c r="C36" s="75">
        <f>SUM(C20:C34)</f>
        <v>1</v>
      </c>
      <c r="D36" s="76"/>
      <c r="E36" s="76"/>
      <c r="F36" s="76"/>
      <c r="G36" s="76"/>
      <c r="H36" s="76"/>
      <c r="I36" s="7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ht="15.75" customHeight="1">
      <c r="A37" s="77"/>
      <c r="B37" s="29"/>
      <c r="C37" s="29"/>
      <c r="D37" s="29"/>
      <c r="E37" s="29"/>
      <c r="F37" s="29"/>
      <c r="G37" s="29"/>
      <c r="H37" s="29"/>
      <c r="I37" s="2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ht="15.75" customHeight="1">
      <c r="A38" s="3"/>
      <c r="B38" s="3"/>
      <c r="C38" s="2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ht="15.75" customHeight="1">
      <c r="A39" s="3"/>
      <c r="B39" s="3"/>
      <c r="C39" s="2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ht="15.75" customHeight="1">
      <c r="A40" s="28" t="s">
        <v>118</v>
      </c>
      <c r="B40" s="29"/>
      <c r="C40" s="29"/>
      <c r="D40" s="29"/>
      <c r="E40" s="29"/>
      <c r="F40" s="29"/>
      <c r="G40" s="29"/>
      <c r="H40" s="29"/>
      <c r="I40" s="2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5.75" customHeight="1">
      <c r="A41" s="37" t="s">
        <v>0</v>
      </c>
      <c r="B41" s="37" t="s">
        <v>1</v>
      </c>
      <c r="C41" s="38" t="s">
        <v>2</v>
      </c>
      <c r="D41" s="37">
        <v>0.0</v>
      </c>
      <c r="E41" s="37">
        <v>1.0</v>
      </c>
      <c r="F41" s="37">
        <v>2.0</v>
      </c>
      <c r="G41" s="37" t="s">
        <v>6</v>
      </c>
      <c r="H41" s="37" t="s">
        <v>7</v>
      </c>
      <c r="I41" s="37" t="s">
        <v>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ht="15.75" customHeight="1">
      <c r="A42" s="40" t="s">
        <v>9</v>
      </c>
      <c r="B42" s="41" t="s">
        <v>10</v>
      </c>
      <c r="C42" s="42">
        <v>0.04</v>
      </c>
      <c r="D42" s="65" t="s">
        <v>11</v>
      </c>
      <c r="E42" s="44" t="s">
        <v>84</v>
      </c>
      <c r="F42" s="45" t="s">
        <v>13</v>
      </c>
      <c r="G42" s="66" t="s">
        <v>14</v>
      </c>
      <c r="H42" s="47" t="s">
        <v>15</v>
      </c>
      <c r="I42" s="48" t="s">
        <v>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ht="15.75" customHeight="1">
      <c r="A43" s="78"/>
      <c r="B43" s="53" t="s">
        <v>87</v>
      </c>
      <c r="C43" s="54"/>
      <c r="D43" s="56" t="s">
        <v>88</v>
      </c>
      <c r="E43" s="56" t="s">
        <v>89</v>
      </c>
      <c r="F43" s="56" t="s">
        <v>90</v>
      </c>
      <c r="G43" s="56" t="s">
        <v>91</v>
      </c>
      <c r="H43" s="56" t="s">
        <v>92</v>
      </c>
      <c r="I43" s="56">
        <v>5.0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5.75" customHeight="1">
      <c r="A44" s="78"/>
      <c r="B44" s="41" t="s">
        <v>17</v>
      </c>
      <c r="C44" s="42">
        <v>0.04</v>
      </c>
      <c r="D44" s="65" t="s">
        <v>95</v>
      </c>
      <c r="E44" s="44" t="s">
        <v>96</v>
      </c>
      <c r="F44" s="45" t="s">
        <v>97</v>
      </c>
      <c r="G44" s="66" t="s">
        <v>98</v>
      </c>
      <c r="H44" s="47" t="s">
        <v>99</v>
      </c>
      <c r="I44" s="48" t="s">
        <v>23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5.75" customHeight="1">
      <c r="A45" s="78"/>
      <c r="B45" s="53" t="s">
        <v>87</v>
      </c>
      <c r="C45" s="54"/>
      <c r="D45" s="56" t="s">
        <v>88</v>
      </c>
      <c r="E45" s="56" t="s">
        <v>89</v>
      </c>
      <c r="F45" s="56" t="s">
        <v>90</v>
      </c>
      <c r="G45" s="56" t="s">
        <v>91</v>
      </c>
      <c r="H45" s="56" t="s">
        <v>92</v>
      </c>
      <c r="I45" s="56">
        <v>5.0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ht="15.75" customHeight="1">
      <c r="A46" s="79" t="s">
        <v>24</v>
      </c>
      <c r="B46" s="80" t="s">
        <v>25</v>
      </c>
      <c r="C46" s="42">
        <v>0.125</v>
      </c>
      <c r="D46" s="65" t="s">
        <v>26</v>
      </c>
      <c r="E46" s="44" t="s">
        <v>119</v>
      </c>
      <c r="F46" s="45" t="s">
        <v>120</v>
      </c>
      <c r="G46" s="66" t="s">
        <v>121</v>
      </c>
      <c r="H46" s="47" t="s">
        <v>122</v>
      </c>
      <c r="I46" s="48" t="s">
        <v>16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ht="15.75" customHeight="1">
      <c r="A47" s="81"/>
      <c r="B47" s="53" t="s">
        <v>87</v>
      </c>
      <c r="C47" s="54"/>
      <c r="D47" s="56" t="s">
        <v>88</v>
      </c>
      <c r="E47" s="56" t="s">
        <v>89</v>
      </c>
      <c r="F47" s="56" t="s">
        <v>90</v>
      </c>
      <c r="G47" s="56" t="s">
        <v>91</v>
      </c>
      <c r="H47" s="56" t="s">
        <v>92</v>
      </c>
      <c r="I47" s="56">
        <v>5.0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ht="15.75" customHeight="1">
      <c r="A48" s="63" t="s">
        <v>32</v>
      </c>
      <c r="B48" s="64" t="s">
        <v>33</v>
      </c>
      <c r="C48" s="42">
        <v>0.105</v>
      </c>
      <c r="D48" s="65" t="s">
        <v>34</v>
      </c>
      <c r="E48" s="44" t="s">
        <v>104</v>
      </c>
      <c r="F48" s="45" t="s">
        <v>105</v>
      </c>
      <c r="G48" s="66" t="s">
        <v>106</v>
      </c>
      <c r="H48" s="47" t="s">
        <v>107</v>
      </c>
      <c r="I48" s="48" t="s">
        <v>108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ht="15.75" customHeight="1">
      <c r="A49" s="68"/>
      <c r="B49" s="53" t="s">
        <v>87</v>
      </c>
      <c r="C49" s="54"/>
      <c r="D49" s="56" t="s">
        <v>88</v>
      </c>
      <c r="E49" s="56" t="s">
        <v>89</v>
      </c>
      <c r="F49" s="56" t="s">
        <v>90</v>
      </c>
      <c r="G49" s="56" t="s">
        <v>91</v>
      </c>
      <c r="H49" s="56" t="s">
        <v>92</v>
      </c>
      <c r="I49" s="56">
        <v>5.0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ht="15.75" customHeight="1">
      <c r="A50" s="82"/>
      <c r="B50" s="64" t="s">
        <v>41</v>
      </c>
      <c r="C50" s="42">
        <v>0.105</v>
      </c>
      <c r="D50" s="65" t="s">
        <v>34</v>
      </c>
      <c r="E50" s="44" t="s">
        <v>111</v>
      </c>
      <c r="F50" s="45" t="s">
        <v>105</v>
      </c>
      <c r="G50" s="66" t="s">
        <v>106</v>
      </c>
      <c r="H50" s="47" t="s">
        <v>107</v>
      </c>
      <c r="I50" s="48" t="s">
        <v>108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ht="15.75" customHeight="1">
      <c r="A51" s="68"/>
      <c r="B51" s="53" t="s">
        <v>87</v>
      </c>
      <c r="C51" s="54"/>
      <c r="D51" s="56" t="s">
        <v>88</v>
      </c>
      <c r="E51" s="56" t="s">
        <v>89</v>
      </c>
      <c r="F51" s="56" t="s">
        <v>90</v>
      </c>
      <c r="G51" s="56" t="s">
        <v>91</v>
      </c>
      <c r="H51" s="56" t="s">
        <v>92</v>
      </c>
      <c r="I51" s="56">
        <v>5.0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ht="15.75" customHeight="1">
      <c r="A52" s="70" t="s">
        <v>43</v>
      </c>
      <c r="B52" s="71" t="s">
        <v>44</v>
      </c>
      <c r="C52" s="42">
        <v>0.21</v>
      </c>
      <c r="D52" s="65" t="s">
        <v>45</v>
      </c>
      <c r="E52" s="44" t="s">
        <v>112</v>
      </c>
      <c r="F52" s="45" t="s">
        <v>47</v>
      </c>
      <c r="G52" s="66" t="s">
        <v>48</v>
      </c>
      <c r="H52" s="47" t="s">
        <v>49</v>
      </c>
      <c r="I52" s="48" t="s">
        <v>50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ht="15.75" customHeight="1">
      <c r="A53" s="73"/>
      <c r="B53" s="53" t="s">
        <v>87</v>
      </c>
      <c r="C53" s="54"/>
      <c r="D53" s="56" t="s">
        <v>88</v>
      </c>
      <c r="E53" s="56" t="s">
        <v>89</v>
      </c>
      <c r="F53" s="56" t="s">
        <v>90</v>
      </c>
      <c r="G53" s="56" t="s">
        <v>91</v>
      </c>
      <c r="H53" s="56" t="s">
        <v>92</v>
      </c>
      <c r="I53" s="56">
        <v>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ht="15.75" customHeight="1">
      <c r="A54" s="73"/>
      <c r="B54" s="71" t="s">
        <v>52</v>
      </c>
      <c r="C54" s="42">
        <v>0.085</v>
      </c>
      <c r="D54" s="65" t="s">
        <v>53</v>
      </c>
      <c r="E54" s="44" t="s">
        <v>54</v>
      </c>
      <c r="F54" s="45" t="s">
        <v>55</v>
      </c>
      <c r="G54" s="66" t="s">
        <v>56</v>
      </c>
      <c r="H54" s="47" t="s">
        <v>57</v>
      </c>
      <c r="I54" s="48" t="s">
        <v>58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ht="15.75" customHeight="1">
      <c r="A55" s="73"/>
      <c r="B55" s="53" t="s">
        <v>87</v>
      </c>
      <c r="C55" s="54"/>
      <c r="D55" s="56" t="s">
        <v>88</v>
      </c>
      <c r="E55" s="56" t="s">
        <v>89</v>
      </c>
      <c r="F55" s="56" t="s">
        <v>90</v>
      </c>
      <c r="G55" s="56" t="s">
        <v>91</v>
      </c>
      <c r="H55" s="56" t="s">
        <v>92</v>
      </c>
      <c r="I55" s="56">
        <v>5.0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ht="15.75" customHeight="1">
      <c r="A56" s="73"/>
      <c r="B56" s="71" t="s">
        <v>59</v>
      </c>
      <c r="C56" s="42">
        <v>0.065</v>
      </c>
      <c r="D56" s="65" t="s">
        <v>60</v>
      </c>
      <c r="E56" s="44" t="s">
        <v>113</v>
      </c>
      <c r="F56" s="45" t="s">
        <v>114</v>
      </c>
      <c r="G56" s="66" t="s">
        <v>115</v>
      </c>
      <c r="H56" s="47" t="s">
        <v>116</v>
      </c>
      <c r="I56" s="48" t="s">
        <v>65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ht="15.75" customHeight="1">
      <c r="A57" s="73"/>
      <c r="B57" s="53" t="s">
        <v>87</v>
      </c>
      <c r="C57" s="54"/>
      <c r="D57" s="56" t="s">
        <v>88</v>
      </c>
      <c r="E57" s="56" t="s">
        <v>89</v>
      </c>
      <c r="F57" s="56" t="s">
        <v>90</v>
      </c>
      <c r="G57" s="56" t="s">
        <v>91</v>
      </c>
      <c r="H57" s="56" t="s">
        <v>92</v>
      </c>
      <c r="I57" s="56">
        <v>5.0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5.75" customHeight="1">
      <c r="A58" s="72"/>
      <c r="B58" s="71" t="s">
        <v>66</v>
      </c>
      <c r="C58" s="42">
        <v>0.065</v>
      </c>
      <c r="D58" s="65" t="s">
        <v>45</v>
      </c>
      <c r="E58" s="44" t="s">
        <v>112</v>
      </c>
      <c r="F58" s="45" t="s">
        <v>47</v>
      </c>
      <c r="G58" s="66" t="s">
        <v>48</v>
      </c>
      <c r="H58" s="47" t="s">
        <v>49</v>
      </c>
      <c r="I58" s="48" t="s">
        <v>50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5.75" customHeight="1">
      <c r="A59" s="73"/>
      <c r="B59" s="53" t="s">
        <v>87</v>
      </c>
      <c r="C59" s="54"/>
      <c r="D59" s="56" t="s">
        <v>88</v>
      </c>
      <c r="E59" s="56" t="s">
        <v>89</v>
      </c>
      <c r="F59" s="56" t="s">
        <v>90</v>
      </c>
      <c r="G59" s="56" t="s">
        <v>91</v>
      </c>
      <c r="H59" s="56" t="s">
        <v>92</v>
      </c>
      <c r="I59" s="56">
        <v>5.0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ht="15.75" customHeight="1">
      <c r="A60" s="72"/>
      <c r="B60" s="71" t="s">
        <v>67</v>
      </c>
      <c r="C60" s="42">
        <v>0.105</v>
      </c>
      <c r="D60" s="65" t="s">
        <v>68</v>
      </c>
      <c r="E60" s="44" t="s">
        <v>69</v>
      </c>
      <c r="F60" s="45" t="s">
        <v>70</v>
      </c>
      <c r="G60" s="66" t="s">
        <v>71</v>
      </c>
      <c r="H60" s="47" t="s">
        <v>72</v>
      </c>
      <c r="I60" s="48" t="s">
        <v>73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ht="15.75" customHeight="1">
      <c r="A61" s="72"/>
      <c r="B61" s="53" t="s">
        <v>87</v>
      </c>
      <c r="C61" s="54"/>
      <c r="D61" s="56" t="s">
        <v>88</v>
      </c>
      <c r="E61" s="56" t="s">
        <v>89</v>
      </c>
      <c r="F61" s="56" t="s">
        <v>90</v>
      </c>
      <c r="G61" s="56" t="s">
        <v>91</v>
      </c>
      <c r="H61" s="56" t="s">
        <v>92</v>
      </c>
      <c r="I61" s="56">
        <v>5.0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ht="15.75" customHeight="1">
      <c r="A62" s="73"/>
      <c r="B62" s="71" t="s">
        <v>74</v>
      </c>
      <c r="C62" s="42">
        <v>0.055</v>
      </c>
      <c r="D62" s="65" t="s">
        <v>68</v>
      </c>
      <c r="E62" s="44" t="s">
        <v>69</v>
      </c>
      <c r="F62" s="45" t="s">
        <v>70</v>
      </c>
      <c r="G62" s="66" t="s">
        <v>71</v>
      </c>
      <c r="H62" s="47" t="s">
        <v>72</v>
      </c>
      <c r="I62" s="48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ht="15.75" customHeight="1">
      <c r="A63" s="73"/>
      <c r="B63" s="53" t="s">
        <v>87</v>
      </c>
      <c r="C63" s="54"/>
      <c r="D63" s="56" t="s">
        <v>88</v>
      </c>
      <c r="E63" s="56" t="s">
        <v>89</v>
      </c>
      <c r="F63" s="56" t="s">
        <v>90</v>
      </c>
      <c r="G63" s="56" t="s">
        <v>91</v>
      </c>
      <c r="H63" s="56" t="s">
        <v>92</v>
      </c>
      <c r="I63" s="56">
        <v>5.0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ht="15.75" customHeight="1">
      <c r="A64" s="83" t="s">
        <v>75</v>
      </c>
      <c r="B64" s="84" t="s">
        <v>76</v>
      </c>
      <c r="C64" s="42" t="s">
        <v>88</v>
      </c>
      <c r="D64" s="85"/>
      <c r="E64" s="86" t="s">
        <v>123</v>
      </c>
      <c r="F64" s="85"/>
      <c r="G64" s="66" t="s">
        <v>124</v>
      </c>
      <c r="H64" s="87"/>
      <c r="I64" s="87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ht="15.75" customHeight="1">
      <c r="A65" s="88"/>
      <c r="B65" s="53" t="s">
        <v>87</v>
      </c>
      <c r="C65" s="54"/>
      <c r="D65" s="89"/>
      <c r="E65" s="89"/>
      <c r="F65" s="89"/>
      <c r="G65" s="89"/>
      <c r="H65" s="89"/>
      <c r="I65" s="8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ht="15.75" customHeight="1">
      <c r="A66" s="74" t="s">
        <v>117</v>
      </c>
      <c r="B66" s="29"/>
      <c r="C66" s="75">
        <f>SUM(C42:C64)</f>
        <v>1</v>
      </c>
      <c r="D66" s="76"/>
      <c r="E66" s="76"/>
      <c r="F66" s="76"/>
      <c r="G66" s="76"/>
      <c r="H66" s="76"/>
      <c r="I66" s="7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ht="15.75" customHeight="1">
      <c r="A67" s="77"/>
      <c r="B67" s="29"/>
      <c r="C67" s="29"/>
      <c r="D67" s="29"/>
      <c r="E67" s="29"/>
      <c r="F67" s="29"/>
      <c r="G67" s="29"/>
      <c r="H67" s="29"/>
      <c r="I67" s="29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ht="15.75" customHeight="1">
      <c r="A68" s="3"/>
      <c r="B68" s="3"/>
      <c r="C68" s="2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ht="15.75" customHeight="1">
      <c r="A69" s="3"/>
      <c r="B69" s="3"/>
      <c r="C69" s="2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ht="15.75" customHeight="1">
      <c r="A70" s="28" t="s">
        <v>125</v>
      </c>
      <c r="B70" s="29"/>
      <c r="C70" s="29"/>
      <c r="D70" s="29"/>
      <c r="E70" s="29"/>
      <c r="F70" s="29"/>
      <c r="G70" s="29"/>
      <c r="H70" s="29"/>
      <c r="I70" s="29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ht="15.75" customHeight="1">
      <c r="A71" s="37" t="s">
        <v>0</v>
      </c>
      <c r="B71" s="37" t="s">
        <v>1</v>
      </c>
      <c r="C71" s="38" t="s">
        <v>2</v>
      </c>
      <c r="D71" s="37">
        <v>0.0</v>
      </c>
      <c r="E71" s="37">
        <v>1.0</v>
      </c>
      <c r="F71" s="37">
        <v>2.0</v>
      </c>
      <c r="G71" s="37" t="s">
        <v>6</v>
      </c>
      <c r="H71" s="37" t="s">
        <v>7</v>
      </c>
      <c r="I71" s="37" t="s">
        <v>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ht="15.75" customHeight="1">
      <c r="A72" s="40" t="s">
        <v>9</v>
      </c>
      <c r="B72" s="41" t="s">
        <v>10</v>
      </c>
      <c r="C72" s="42">
        <v>0.04</v>
      </c>
      <c r="D72" s="65" t="s">
        <v>11</v>
      </c>
      <c r="E72" s="44" t="s">
        <v>84</v>
      </c>
      <c r="F72" s="45" t="s">
        <v>13</v>
      </c>
      <c r="G72" s="66" t="s">
        <v>14</v>
      </c>
      <c r="H72" s="47" t="s">
        <v>15</v>
      </c>
      <c r="I72" s="48" t="s">
        <v>31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ht="15.75" customHeight="1">
      <c r="A73" s="78"/>
      <c r="B73" s="53" t="s">
        <v>87</v>
      </c>
      <c r="C73" s="54"/>
      <c r="D73" s="56" t="s">
        <v>88</v>
      </c>
      <c r="E73" s="56" t="s">
        <v>89</v>
      </c>
      <c r="F73" s="56" t="s">
        <v>90</v>
      </c>
      <c r="G73" s="56" t="s">
        <v>91</v>
      </c>
      <c r="H73" s="56" t="s">
        <v>92</v>
      </c>
      <c r="I73" s="56">
        <v>5.0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t="15.75" customHeight="1">
      <c r="A74" s="78"/>
      <c r="B74" s="41" t="s">
        <v>17</v>
      </c>
      <c r="C74" s="42">
        <v>0.04</v>
      </c>
      <c r="D74" s="65" t="s">
        <v>95</v>
      </c>
      <c r="E74" s="44" t="s">
        <v>96</v>
      </c>
      <c r="F74" s="45" t="s">
        <v>97</v>
      </c>
      <c r="G74" s="66" t="s">
        <v>98</v>
      </c>
      <c r="H74" s="47" t="s">
        <v>99</v>
      </c>
      <c r="I74" s="48" t="s">
        <v>23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ht="15.75" customHeight="1">
      <c r="A75" s="78"/>
      <c r="B75" s="53" t="s">
        <v>87</v>
      </c>
      <c r="C75" s="54"/>
      <c r="D75" s="56" t="s">
        <v>88</v>
      </c>
      <c r="E75" s="56" t="s">
        <v>89</v>
      </c>
      <c r="F75" s="56" t="s">
        <v>90</v>
      </c>
      <c r="G75" s="56" t="s">
        <v>91</v>
      </c>
      <c r="H75" s="56" t="s">
        <v>92</v>
      </c>
      <c r="I75" s="56">
        <v>5.0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5.75" customHeight="1">
      <c r="A76" s="79" t="s">
        <v>24</v>
      </c>
      <c r="B76" s="80" t="s">
        <v>25</v>
      </c>
      <c r="C76" s="42">
        <v>0.125</v>
      </c>
      <c r="D76" s="65" t="s">
        <v>26</v>
      </c>
      <c r="E76" s="44" t="s">
        <v>119</v>
      </c>
      <c r="F76" s="45" t="s">
        <v>120</v>
      </c>
      <c r="G76" s="66" t="s">
        <v>121</v>
      </c>
      <c r="H76" s="47" t="s">
        <v>122</v>
      </c>
      <c r="I76" s="48" t="s">
        <v>16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5.75" customHeight="1">
      <c r="A77" s="81"/>
      <c r="B77" s="53" t="s">
        <v>87</v>
      </c>
      <c r="C77" s="54"/>
      <c r="D77" s="56" t="s">
        <v>88</v>
      </c>
      <c r="E77" s="56" t="s">
        <v>89</v>
      </c>
      <c r="F77" s="56" t="s">
        <v>90</v>
      </c>
      <c r="G77" s="56" t="s">
        <v>91</v>
      </c>
      <c r="H77" s="56" t="s">
        <v>92</v>
      </c>
      <c r="I77" s="56">
        <v>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ht="15.75" customHeight="1">
      <c r="A78" s="63" t="s">
        <v>32</v>
      </c>
      <c r="B78" s="64" t="s">
        <v>33</v>
      </c>
      <c r="C78" s="42">
        <v>0.105</v>
      </c>
      <c r="D78" s="65" t="s">
        <v>34</v>
      </c>
      <c r="E78" s="44" t="s">
        <v>104</v>
      </c>
      <c r="F78" s="45" t="s">
        <v>105</v>
      </c>
      <c r="G78" s="66" t="s">
        <v>106</v>
      </c>
      <c r="H78" s="47" t="s">
        <v>107</v>
      </c>
      <c r="I78" s="48" t="s">
        <v>108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ht="15.75" customHeight="1">
      <c r="A79" s="68"/>
      <c r="B79" s="53" t="s">
        <v>87</v>
      </c>
      <c r="C79" s="54"/>
      <c r="D79" s="56" t="s">
        <v>88</v>
      </c>
      <c r="E79" s="56" t="s">
        <v>89</v>
      </c>
      <c r="F79" s="56" t="s">
        <v>90</v>
      </c>
      <c r="G79" s="56" t="s">
        <v>91</v>
      </c>
      <c r="H79" s="56" t="s">
        <v>92</v>
      </c>
      <c r="I79" s="56">
        <v>5.0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ht="15.75" customHeight="1">
      <c r="A80" s="82"/>
      <c r="B80" s="64" t="s">
        <v>41</v>
      </c>
      <c r="C80" s="42">
        <v>0.105</v>
      </c>
      <c r="D80" s="65" t="s">
        <v>34</v>
      </c>
      <c r="E80" s="44" t="s">
        <v>111</v>
      </c>
      <c r="F80" s="45" t="s">
        <v>105</v>
      </c>
      <c r="G80" s="66" t="s">
        <v>106</v>
      </c>
      <c r="H80" s="47" t="s">
        <v>107</v>
      </c>
      <c r="I80" s="48" t="s">
        <v>108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ht="15.75" customHeight="1">
      <c r="A81" s="68"/>
      <c r="B81" s="53" t="s">
        <v>87</v>
      </c>
      <c r="C81" s="54"/>
      <c r="D81" s="56" t="s">
        <v>88</v>
      </c>
      <c r="E81" s="56" t="s">
        <v>89</v>
      </c>
      <c r="F81" s="56" t="s">
        <v>90</v>
      </c>
      <c r="G81" s="56" t="s">
        <v>91</v>
      </c>
      <c r="H81" s="56" t="s">
        <v>92</v>
      </c>
      <c r="I81" s="56">
        <v>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ht="15.75" customHeight="1">
      <c r="A82" s="70" t="s">
        <v>43</v>
      </c>
      <c r="B82" s="71" t="s">
        <v>44</v>
      </c>
      <c r="C82" s="42">
        <v>0.21</v>
      </c>
      <c r="D82" s="65" t="s">
        <v>45</v>
      </c>
      <c r="E82" s="44" t="s">
        <v>112</v>
      </c>
      <c r="F82" s="45" t="s">
        <v>47</v>
      </c>
      <c r="G82" s="66" t="s">
        <v>48</v>
      </c>
      <c r="H82" s="47" t="s">
        <v>49</v>
      </c>
      <c r="I82" s="48" t="s">
        <v>50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ht="15.75" customHeight="1">
      <c r="A83" s="73"/>
      <c r="B83" s="53" t="s">
        <v>87</v>
      </c>
      <c r="C83" s="54"/>
      <c r="D83" s="56" t="s">
        <v>88</v>
      </c>
      <c r="E83" s="56" t="s">
        <v>89</v>
      </c>
      <c r="F83" s="56" t="s">
        <v>90</v>
      </c>
      <c r="G83" s="56" t="s">
        <v>91</v>
      </c>
      <c r="H83" s="56" t="s">
        <v>92</v>
      </c>
      <c r="I83" s="56">
        <v>5.0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ht="15.75" customHeight="1">
      <c r="A84" s="73"/>
      <c r="B84" s="71" t="s">
        <v>52</v>
      </c>
      <c r="C84" s="42">
        <v>0.085</v>
      </c>
      <c r="D84" s="65" t="s">
        <v>53</v>
      </c>
      <c r="E84" s="44" t="s">
        <v>54</v>
      </c>
      <c r="F84" s="45" t="s">
        <v>55</v>
      </c>
      <c r="G84" s="66" t="s">
        <v>56</v>
      </c>
      <c r="H84" s="47" t="s">
        <v>57</v>
      </c>
      <c r="I84" s="48" t="s">
        <v>58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ht="15.75" customHeight="1">
      <c r="A85" s="73"/>
      <c r="B85" s="53" t="s">
        <v>87</v>
      </c>
      <c r="C85" s="54"/>
      <c r="D85" s="56" t="s">
        <v>88</v>
      </c>
      <c r="E85" s="56" t="s">
        <v>89</v>
      </c>
      <c r="F85" s="56" t="s">
        <v>90</v>
      </c>
      <c r="G85" s="56" t="s">
        <v>91</v>
      </c>
      <c r="H85" s="56" t="s">
        <v>92</v>
      </c>
      <c r="I85" s="56">
        <v>5.0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ht="15.75" customHeight="1">
      <c r="A86" s="73"/>
      <c r="B86" s="71" t="s">
        <v>59</v>
      </c>
      <c r="C86" s="42">
        <v>0.065</v>
      </c>
      <c r="D86" s="65" t="s">
        <v>60</v>
      </c>
      <c r="E86" s="44" t="s">
        <v>113</v>
      </c>
      <c r="F86" s="45" t="s">
        <v>114</v>
      </c>
      <c r="G86" s="66" t="s">
        <v>115</v>
      </c>
      <c r="H86" s="47" t="s">
        <v>116</v>
      </c>
      <c r="I86" s="48" t="s">
        <v>65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ht="15.75" customHeight="1">
      <c r="A87" s="73"/>
      <c r="B87" s="53" t="s">
        <v>87</v>
      </c>
      <c r="C87" s="54"/>
      <c r="D87" s="56" t="s">
        <v>88</v>
      </c>
      <c r="E87" s="56" t="s">
        <v>89</v>
      </c>
      <c r="F87" s="56" t="s">
        <v>90</v>
      </c>
      <c r="G87" s="56" t="s">
        <v>91</v>
      </c>
      <c r="H87" s="56" t="s">
        <v>92</v>
      </c>
      <c r="I87" s="56">
        <v>5.0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15.75" customHeight="1">
      <c r="A88" s="72"/>
      <c r="B88" s="71" t="s">
        <v>66</v>
      </c>
      <c r="C88" s="42">
        <v>0.065</v>
      </c>
      <c r="D88" s="65" t="s">
        <v>45</v>
      </c>
      <c r="E88" s="44" t="s">
        <v>112</v>
      </c>
      <c r="F88" s="45" t="s">
        <v>47</v>
      </c>
      <c r="G88" s="66" t="s">
        <v>48</v>
      </c>
      <c r="H88" s="47" t="s">
        <v>49</v>
      </c>
      <c r="I88" s="48" t="s">
        <v>50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t="15.75" customHeight="1">
      <c r="A89" s="73"/>
      <c r="B89" s="53" t="s">
        <v>87</v>
      </c>
      <c r="C89" s="54"/>
      <c r="D89" s="56" t="s">
        <v>88</v>
      </c>
      <c r="E89" s="56" t="s">
        <v>89</v>
      </c>
      <c r="F89" s="56" t="s">
        <v>90</v>
      </c>
      <c r="G89" s="56" t="s">
        <v>91</v>
      </c>
      <c r="H89" s="56" t="s">
        <v>92</v>
      </c>
      <c r="I89" s="56">
        <v>5.0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t="15.75" customHeight="1">
      <c r="A90" s="72"/>
      <c r="B90" s="71" t="s">
        <v>67</v>
      </c>
      <c r="C90" s="42">
        <v>0.105</v>
      </c>
      <c r="D90" s="65" t="s">
        <v>68</v>
      </c>
      <c r="E90" s="44" t="s">
        <v>69</v>
      </c>
      <c r="F90" s="45" t="s">
        <v>70</v>
      </c>
      <c r="G90" s="66" t="s">
        <v>71</v>
      </c>
      <c r="H90" s="47" t="s">
        <v>72</v>
      </c>
      <c r="I90" s="48" t="s">
        <v>73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ht="15.75" customHeight="1">
      <c r="A91" s="72"/>
      <c r="B91" s="53" t="s">
        <v>87</v>
      </c>
      <c r="C91" s="54"/>
      <c r="D91" s="56" t="s">
        <v>88</v>
      </c>
      <c r="E91" s="56" t="s">
        <v>89</v>
      </c>
      <c r="F91" s="56" t="s">
        <v>90</v>
      </c>
      <c r="G91" s="56" t="s">
        <v>91</v>
      </c>
      <c r="H91" s="56" t="s">
        <v>92</v>
      </c>
      <c r="I91" s="56">
        <v>5.0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ht="15.75" customHeight="1">
      <c r="A92" s="73"/>
      <c r="B92" s="71" t="s">
        <v>74</v>
      </c>
      <c r="C92" s="42">
        <v>0.055</v>
      </c>
      <c r="D92" s="65" t="s">
        <v>68</v>
      </c>
      <c r="E92" s="44" t="s">
        <v>69</v>
      </c>
      <c r="F92" s="45" t="s">
        <v>70</v>
      </c>
      <c r="G92" s="66" t="s">
        <v>71</v>
      </c>
      <c r="H92" s="47" t="s">
        <v>72</v>
      </c>
      <c r="I92" s="48" t="s">
        <v>73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ht="15.75" customHeight="1">
      <c r="A93" s="73"/>
      <c r="B93" s="53" t="s">
        <v>87</v>
      </c>
      <c r="C93" s="54"/>
      <c r="D93" s="56" t="s">
        <v>88</v>
      </c>
      <c r="E93" s="56" t="s">
        <v>89</v>
      </c>
      <c r="F93" s="56" t="s">
        <v>90</v>
      </c>
      <c r="G93" s="56" t="s">
        <v>91</v>
      </c>
      <c r="H93" s="56" t="s">
        <v>92</v>
      </c>
      <c r="I93" s="56">
        <v>5.0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ht="15.75" customHeight="1">
      <c r="A94" s="83" t="s">
        <v>75</v>
      </c>
      <c r="B94" s="84" t="s">
        <v>76</v>
      </c>
      <c r="C94" s="42" t="s">
        <v>88</v>
      </c>
      <c r="D94" s="85"/>
      <c r="E94" s="86" t="s">
        <v>123</v>
      </c>
      <c r="F94" s="85"/>
      <c r="G94" s="66" t="s">
        <v>124</v>
      </c>
      <c r="H94" s="87"/>
      <c r="I94" s="8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ht="15.75" customHeight="1">
      <c r="A95" s="88"/>
      <c r="B95" s="53" t="s">
        <v>87</v>
      </c>
      <c r="C95" s="54"/>
      <c r="D95" s="89"/>
      <c r="E95" s="89"/>
      <c r="F95" s="89"/>
      <c r="G95" s="89"/>
      <c r="H95" s="89"/>
      <c r="I95" s="8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ht="15.75" customHeight="1">
      <c r="A96" s="74" t="s">
        <v>117</v>
      </c>
      <c r="B96" s="29"/>
      <c r="C96" s="75">
        <f>SUM(C72:C94)</f>
        <v>1</v>
      </c>
      <c r="D96" s="76"/>
      <c r="E96" s="76"/>
      <c r="F96" s="76"/>
      <c r="G96" s="76"/>
      <c r="H96" s="76"/>
      <c r="I96" s="7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ht="15.75" customHeight="1">
      <c r="A97" s="77"/>
      <c r="B97" s="29"/>
      <c r="C97" s="29"/>
      <c r="D97" s="29"/>
      <c r="E97" s="29"/>
      <c r="F97" s="29"/>
      <c r="G97" s="29"/>
      <c r="H97" s="29"/>
      <c r="I97" s="29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5.75" customHeight="1">
      <c r="A98" s="3"/>
      <c r="B98" s="3"/>
      <c r="C98" s="2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ht="15.75" customHeight="1">
      <c r="A99" s="3"/>
      <c r="B99" s="3"/>
      <c r="C99" s="2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ht="15.75" customHeight="1">
      <c r="A100" s="3"/>
      <c r="B100" s="3"/>
      <c r="C100" s="2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ht="15.75" customHeight="1">
      <c r="A101" s="3"/>
      <c r="B101" s="3"/>
      <c r="C101" s="2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ht="15.75" customHeight="1">
      <c r="A102" s="3"/>
      <c r="B102" s="3"/>
      <c r="C102" s="2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ht="15.75" customHeight="1">
      <c r="A103" s="3"/>
      <c r="B103" s="3"/>
      <c r="C103" s="2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ht="15.75" customHeight="1">
      <c r="A104" s="3"/>
      <c r="B104" s="3"/>
      <c r="C104" s="2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ht="15.75" customHeight="1">
      <c r="A105" s="3"/>
      <c r="B105" s="3"/>
      <c r="C105" s="2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5.75" customHeight="1">
      <c r="A106" s="3"/>
      <c r="B106" s="3"/>
      <c r="C106" s="2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5.75" customHeight="1">
      <c r="A107" s="3"/>
      <c r="B107" s="3"/>
      <c r="C107" s="2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5.75" customHeight="1">
      <c r="A108" s="3"/>
      <c r="B108" s="3"/>
      <c r="C108" s="2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5.75" customHeight="1">
      <c r="A109" s="3"/>
      <c r="B109" s="3"/>
      <c r="C109" s="2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5.75" customHeight="1">
      <c r="A110" s="3"/>
      <c r="B110" s="3"/>
      <c r="C110" s="2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5.75" customHeight="1">
      <c r="A111" s="3"/>
      <c r="B111" s="3"/>
      <c r="C111" s="2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5.75" customHeight="1">
      <c r="A112" s="3"/>
      <c r="B112" s="3"/>
      <c r="C112" s="2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5.75" customHeight="1">
      <c r="A113" s="3"/>
      <c r="B113" s="3"/>
      <c r="C113" s="2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5.75" customHeight="1">
      <c r="A114" s="3"/>
      <c r="B114" s="3"/>
      <c r="C114" s="2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5.75" customHeight="1">
      <c r="A115" s="3"/>
      <c r="B115" s="3"/>
      <c r="C115" s="2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5.75" customHeight="1">
      <c r="A116" s="3"/>
      <c r="B116" s="3"/>
      <c r="C116" s="2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5.75" customHeight="1">
      <c r="A117" s="3"/>
      <c r="B117" s="3"/>
      <c r="C117" s="2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5.75" customHeight="1">
      <c r="A118" s="3"/>
      <c r="B118" s="3"/>
      <c r="C118" s="2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5.75" customHeight="1">
      <c r="A119" s="3"/>
      <c r="B119" s="3"/>
      <c r="C119" s="2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5.75" customHeight="1">
      <c r="A120" s="3"/>
      <c r="B120" s="3"/>
      <c r="C120" s="2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5.75" customHeight="1">
      <c r="A121" s="3"/>
      <c r="B121" s="3"/>
      <c r="C121" s="2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5.75" customHeight="1">
      <c r="A122" s="3"/>
      <c r="B122" s="3"/>
      <c r="C122" s="2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5.75" customHeight="1">
      <c r="A123" s="3"/>
      <c r="B123" s="3"/>
      <c r="C123" s="2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5.75" customHeight="1">
      <c r="A124" s="3"/>
      <c r="B124" s="3"/>
      <c r="C124" s="2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5.75" customHeight="1">
      <c r="A125" s="3"/>
      <c r="B125" s="3"/>
      <c r="C125" s="2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5.75" customHeight="1">
      <c r="A126" s="3"/>
      <c r="B126" s="3"/>
      <c r="C126" s="2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5.75" customHeight="1">
      <c r="A127" s="3"/>
      <c r="B127" s="3"/>
      <c r="C127" s="2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5.75" customHeight="1">
      <c r="A128" s="3"/>
      <c r="B128" s="3"/>
      <c r="C128" s="2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5.75" customHeight="1">
      <c r="A129" s="3"/>
      <c r="B129" s="3"/>
      <c r="C129" s="2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5.75" customHeight="1">
      <c r="A130" s="3"/>
      <c r="B130" s="3"/>
      <c r="C130" s="2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5.75" customHeight="1">
      <c r="A131" s="3"/>
      <c r="B131" s="3"/>
      <c r="C131" s="2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5.75" customHeight="1">
      <c r="A132" s="3"/>
      <c r="B132" s="3"/>
      <c r="C132" s="2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5.75" customHeight="1">
      <c r="A133" s="3"/>
      <c r="B133" s="3"/>
      <c r="C133" s="2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5.75" customHeight="1">
      <c r="A134" s="3"/>
      <c r="B134" s="3"/>
      <c r="C134" s="2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5.75" customHeight="1">
      <c r="A135" s="3"/>
      <c r="B135" s="3"/>
      <c r="C135" s="2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5.75" customHeight="1">
      <c r="A136" s="3"/>
      <c r="B136" s="3"/>
      <c r="C136" s="2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5.75" customHeight="1">
      <c r="A137" s="3"/>
      <c r="B137" s="3"/>
      <c r="C137" s="2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5.75" customHeight="1">
      <c r="A138" s="3"/>
      <c r="B138" s="3"/>
      <c r="C138" s="2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5.75" customHeight="1">
      <c r="A139" s="3"/>
      <c r="B139" s="3"/>
      <c r="C139" s="2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5.75" customHeight="1">
      <c r="A140" s="3"/>
      <c r="B140" s="3"/>
      <c r="C140" s="2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5.75" customHeight="1">
      <c r="A141" s="3"/>
      <c r="B141" s="3"/>
      <c r="C141" s="2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5.75" customHeight="1">
      <c r="A142" s="3"/>
      <c r="B142" s="3"/>
      <c r="C142" s="2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5.75" customHeight="1">
      <c r="A143" s="3"/>
      <c r="B143" s="3"/>
      <c r="C143" s="2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5.75" customHeight="1">
      <c r="A144" s="3"/>
      <c r="B144" s="3"/>
      <c r="C144" s="2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5.75" customHeight="1">
      <c r="A145" s="3"/>
      <c r="B145" s="3"/>
      <c r="C145" s="2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5.75" customHeight="1">
      <c r="A146" s="3"/>
      <c r="B146" s="3"/>
      <c r="C146" s="2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5.75" customHeight="1">
      <c r="A147" s="3"/>
      <c r="B147" s="3"/>
      <c r="C147" s="2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5.75" customHeight="1">
      <c r="A148" s="3"/>
      <c r="B148" s="3"/>
      <c r="C148" s="2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5.75" customHeight="1">
      <c r="A149" s="3"/>
      <c r="B149" s="3"/>
      <c r="C149" s="2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5.75" customHeight="1">
      <c r="A150" s="3"/>
      <c r="B150" s="3"/>
      <c r="C150" s="2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5.75" customHeight="1">
      <c r="A151" s="3"/>
      <c r="B151" s="3"/>
      <c r="C151" s="2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5.75" customHeight="1">
      <c r="A152" s="3"/>
      <c r="B152" s="3"/>
      <c r="C152" s="2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5.75" customHeight="1">
      <c r="A153" s="3"/>
      <c r="B153" s="3"/>
      <c r="C153" s="2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5.75" customHeight="1">
      <c r="A154" s="3"/>
      <c r="B154" s="3"/>
      <c r="C154" s="2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5.75" customHeight="1">
      <c r="A155" s="3"/>
      <c r="B155" s="3"/>
      <c r="C155" s="2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5.75" customHeight="1">
      <c r="A156" s="3"/>
      <c r="B156" s="3"/>
      <c r="C156" s="2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5.75" customHeight="1">
      <c r="A157" s="3"/>
      <c r="B157" s="3"/>
      <c r="C157" s="2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5.75" customHeight="1">
      <c r="A158" s="3"/>
      <c r="B158" s="3"/>
      <c r="C158" s="2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5.75" customHeight="1">
      <c r="A159" s="3"/>
      <c r="B159" s="3"/>
      <c r="C159" s="2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5.75" customHeight="1">
      <c r="A160" s="3"/>
      <c r="B160" s="3"/>
      <c r="C160" s="2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5.75" customHeight="1">
      <c r="A161" s="3"/>
      <c r="B161" s="3"/>
      <c r="C161" s="2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5.75" customHeight="1">
      <c r="A162" s="3"/>
      <c r="B162" s="3"/>
      <c r="C162" s="2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5.75" customHeight="1">
      <c r="A163" s="3"/>
      <c r="B163" s="3"/>
      <c r="C163" s="2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5.75" customHeight="1">
      <c r="A164" s="3"/>
      <c r="B164" s="3"/>
      <c r="C164" s="2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5.75" customHeight="1">
      <c r="A165" s="3"/>
      <c r="B165" s="3"/>
      <c r="C165" s="2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5.75" customHeight="1">
      <c r="A166" s="3"/>
      <c r="B166" s="3"/>
      <c r="C166" s="2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5.75" customHeight="1">
      <c r="A167" s="3"/>
      <c r="B167" s="3"/>
      <c r="C167" s="2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5.75" customHeight="1">
      <c r="A168" s="3"/>
      <c r="B168" s="3"/>
      <c r="C168" s="2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5.75" customHeight="1">
      <c r="A169" s="3"/>
      <c r="B169" s="3"/>
      <c r="C169" s="2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5.75" customHeight="1">
      <c r="A170" s="3"/>
      <c r="B170" s="3"/>
      <c r="C170" s="2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5.75" customHeight="1">
      <c r="A171" s="3"/>
      <c r="B171" s="3"/>
      <c r="C171" s="2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5.75" customHeight="1">
      <c r="A172" s="3"/>
      <c r="B172" s="3"/>
      <c r="C172" s="2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5.75" customHeight="1">
      <c r="A173" s="3"/>
      <c r="B173" s="3"/>
      <c r="C173" s="2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5.75" customHeight="1">
      <c r="A174" s="3"/>
      <c r="B174" s="3"/>
      <c r="C174" s="2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5.75" customHeight="1">
      <c r="A175" s="3"/>
      <c r="B175" s="3"/>
      <c r="C175" s="2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5.75" customHeight="1">
      <c r="A176" s="3"/>
      <c r="B176" s="3"/>
      <c r="C176" s="2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5.75" customHeight="1">
      <c r="A177" s="3"/>
      <c r="B177" s="3"/>
      <c r="C177" s="2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5.75" customHeight="1">
      <c r="A178" s="3"/>
      <c r="B178" s="3"/>
      <c r="C178" s="2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5.75" customHeight="1">
      <c r="A179" s="3"/>
      <c r="B179" s="3"/>
      <c r="C179" s="2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5.75" customHeight="1">
      <c r="A180" s="3"/>
      <c r="B180" s="3"/>
      <c r="C180" s="2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5.75" customHeight="1">
      <c r="A181" s="3"/>
      <c r="B181" s="3"/>
      <c r="C181" s="2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5.75" customHeight="1">
      <c r="A182" s="3"/>
      <c r="B182" s="3"/>
      <c r="C182" s="2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5.75" customHeight="1">
      <c r="A183" s="3"/>
      <c r="B183" s="3"/>
      <c r="C183" s="2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5.75" customHeight="1">
      <c r="A184" s="3"/>
      <c r="B184" s="3"/>
      <c r="C184" s="2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5.75" customHeight="1">
      <c r="A185" s="3"/>
      <c r="B185" s="3"/>
      <c r="C185" s="2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5.75" customHeight="1">
      <c r="A186" s="3"/>
      <c r="B186" s="3"/>
      <c r="C186" s="2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5.75" customHeight="1">
      <c r="A187" s="3"/>
      <c r="B187" s="3"/>
      <c r="C187" s="2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5.75" customHeight="1">
      <c r="A188" s="3"/>
      <c r="B188" s="3"/>
      <c r="C188" s="2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5.75" customHeight="1">
      <c r="A189" s="3"/>
      <c r="B189" s="3"/>
      <c r="C189" s="2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5.75" customHeight="1">
      <c r="A190" s="3"/>
      <c r="B190" s="3"/>
      <c r="C190" s="2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5.75" customHeight="1">
      <c r="A191" s="3"/>
      <c r="B191" s="3"/>
      <c r="C191" s="2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5.75" customHeight="1">
      <c r="A192" s="3"/>
      <c r="B192" s="3"/>
      <c r="C192" s="2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5.75" customHeight="1">
      <c r="A193" s="3"/>
      <c r="B193" s="3"/>
      <c r="C193" s="2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5.75" customHeight="1">
      <c r="A194" s="3"/>
      <c r="B194" s="3"/>
      <c r="C194" s="2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5.75" customHeight="1">
      <c r="A195" s="3"/>
      <c r="B195" s="3"/>
      <c r="C195" s="2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5.75" customHeight="1">
      <c r="A196" s="3"/>
      <c r="B196" s="3"/>
      <c r="C196" s="2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5.75" customHeight="1">
      <c r="A197" s="3"/>
      <c r="B197" s="3"/>
      <c r="C197" s="2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5.75" customHeight="1">
      <c r="A198" s="3"/>
      <c r="B198" s="3"/>
      <c r="C198" s="2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5.75" customHeight="1">
      <c r="A199" s="3"/>
      <c r="B199" s="3"/>
      <c r="C199" s="2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5.75" customHeight="1">
      <c r="A200" s="3"/>
      <c r="B200" s="3"/>
      <c r="C200" s="2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5.75" customHeight="1">
      <c r="A201" s="3"/>
      <c r="B201" s="3"/>
      <c r="C201" s="2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5.75" customHeight="1">
      <c r="A202" s="3"/>
      <c r="B202" s="3"/>
      <c r="C202" s="2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5.75" customHeight="1">
      <c r="A203" s="3"/>
      <c r="B203" s="3"/>
      <c r="C203" s="2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5.75" customHeight="1">
      <c r="A204" s="3"/>
      <c r="B204" s="3"/>
      <c r="C204" s="2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5.75" customHeight="1">
      <c r="A205" s="3"/>
      <c r="B205" s="3"/>
      <c r="C205" s="2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5.75" customHeight="1">
      <c r="A206" s="3"/>
      <c r="B206" s="3"/>
      <c r="C206" s="2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5.75" customHeight="1">
      <c r="A207" s="3"/>
      <c r="B207" s="3"/>
      <c r="C207" s="2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5.75" customHeight="1">
      <c r="A208" s="3"/>
      <c r="B208" s="3"/>
      <c r="C208" s="2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5.75" customHeight="1">
      <c r="A209" s="3"/>
      <c r="B209" s="3"/>
      <c r="C209" s="2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5.75" customHeight="1">
      <c r="A210" s="3"/>
      <c r="B210" s="3"/>
      <c r="C210" s="2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5.75" customHeight="1">
      <c r="A211" s="3"/>
      <c r="B211" s="3"/>
      <c r="C211" s="2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5.75" customHeight="1">
      <c r="A212" s="3"/>
      <c r="B212" s="3"/>
      <c r="C212" s="2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5.75" customHeight="1">
      <c r="A213" s="3"/>
      <c r="B213" s="3"/>
      <c r="C213" s="2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5.75" customHeight="1">
      <c r="A214" s="3"/>
      <c r="B214" s="3"/>
      <c r="C214" s="2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5.75" customHeight="1">
      <c r="A215" s="3"/>
      <c r="B215" s="3"/>
      <c r="C215" s="2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5.75" customHeight="1">
      <c r="A216" s="3"/>
      <c r="B216" s="3"/>
      <c r="C216" s="2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5.75" customHeight="1">
      <c r="A217" s="3"/>
      <c r="B217" s="3"/>
      <c r="C217" s="2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5.75" customHeight="1">
      <c r="A218" s="3"/>
      <c r="B218" s="3"/>
      <c r="C218" s="2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5.75" customHeight="1">
      <c r="A219" s="3"/>
      <c r="B219" s="3"/>
      <c r="C219" s="2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5.75" customHeight="1">
      <c r="A220" s="3"/>
      <c r="B220" s="3"/>
      <c r="C220" s="2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5.75" customHeight="1">
      <c r="A221" s="3"/>
      <c r="B221" s="3"/>
      <c r="C221" s="2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ht="15.75" customHeight="1">
      <c r="A222" s="3"/>
      <c r="B222" s="3"/>
      <c r="C222" s="2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5.75" customHeight="1">
      <c r="A223" s="3"/>
      <c r="B223" s="3"/>
      <c r="C223" s="2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5.75" customHeight="1">
      <c r="A224" s="3"/>
      <c r="B224" s="3"/>
      <c r="C224" s="2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5.75" customHeight="1">
      <c r="A225" s="3"/>
      <c r="B225" s="3"/>
      <c r="C225" s="2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5.75" customHeight="1">
      <c r="A226" s="3"/>
      <c r="B226" s="3"/>
      <c r="C226" s="2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ht="15.75" customHeight="1">
      <c r="A227" s="3"/>
      <c r="B227" s="3"/>
      <c r="C227" s="2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ht="15.75" customHeight="1">
      <c r="A228" s="3"/>
      <c r="B228" s="3"/>
      <c r="C228" s="2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ht="15.75" customHeight="1">
      <c r="A229" s="3"/>
      <c r="B229" s="3"/>
      <c r="C229" s="2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5.75" customHeight="1">
      <c r="A230" s="3"/>
      <c r="B230" s="3"/>
      <c r="C230" s="2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ht="15.75" customHeight="1">
      <c r="A231" s="3"/>
      <c r="B231" s="3"/>
      <c r="C231" s="2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ht="15.75" customHeight="1">
      <c r="A232" s="3"/>
      <c r="B232" s="3"/>
      <c r="C232" s="2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ht="15.75" customHeight="1">
      <c r="A233" s="3"/>
      <c r="B233" s="3"/>
      <c r="C233" s="2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ht="15.75" customHeight="1">
      <c r="A234" s="3"/>
      <c r="B234" s="3"/>
      <c r="C234" s="2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5.75" customHeight="1">
      <c r="A235" s="3"/>
      <c r="B235" s="3"/>
      <c r="C235" s="2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ht="15.75" customHeight="1">
      <c r="A236" s="3"/>
      <c r="B236" s="3"/>
      <c r="C236" s="2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5.75" customHeight="1">
      <c r="A237" s="3"/>
      <c r="B237" s="3"/>
      <c r="C237" s="2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ht="15.75" customHeight="1">
      <c r="A238" s="3"/>
      <c r="B238" s="3"/>
      <c r="C238" s="2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5.75" customHeight="1">
      <c r="A239" s="3"/>
      <c r="B239" s="3"/>
      <c r="C239" s="2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ht="15.75" customHeight="1">
      <c r="A240" s="3"/>
      <c r="B240" s="3"/>
      <c r="C240" s="2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ht="15.75" customHeight="1">
      <c r="A241" s="3"/>
      <c r="B241" s="3"/>
      <c r="C241" s="2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5.75" customHeight="1">
      <c r="A242" s="3"/>
      <c r="B242" s="3"/>
      <c r="C242" s="2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5.75" customHeight="1">
      <c r="A243" s="3"/>
      <c r="B243" s="3"/>
      <c r="C243" s="2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ht="15.75" customHeight="1">
      <c r="A244" s="3"/>
      <c r="B244" s="3"/>
      <c r="C244" s="2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ht="15.75" customHeight="1">
      <c r="A245" s="3"/>
      <c r="B245" s="3"/>
      <c r="C245" s="2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5.75" customHeight="1">
      <c r="A246" s="3"/>
      <c r="B246" s="3"/>
      <c r="C246" s="2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ht="15.75" customHeight="1">
      <c r="A247" s="3"/>
      <c r="B247" s="3"/>
      <c r="C247" s="2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ht="15.75" customHeight="1">
      <c r="A248" s="3"/>
      <c r="B248" s="3"/>
      <c r="C248" s="2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ht="15.75" customHeight="1">
      <c r="A249" s="3"/>
      <c r="B249" s="3"/>
      <c r="C249" s="2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ht="15.75" customHeight="1">
      <c r="A250" s="3"/>
      <c r="B250" s="3"/>
      <c r="C250" s="2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5.75" customHeight="1">
      <c r="A251" s="3"/>
      <c r="B251" s="3"/>
      <c r="C251" s="2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ht="15.75" customHeight="1">
      <c r="A252" s="3"/>
      <c r="B252" s="3"/>
      <c r="C252" s="2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ht="15.75" customHeight="1">
      <c r="A253" s="3"/>
      <c r="B253" s="3"/>
      <c r="C253" s="2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ht="15.75" customHeight="1">
      <c r="A254" s="3"/>
      <c r="B254" s="3"/>
      <c r="C254" s="2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ht="15.75" customHeight="1">
      <c r="A255" s="3"/>
      <c r="B255" s="3"/>
      <c r="C255" s="2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ht="15.75" customHeight="1">
      <c r="A256" s="3"/>
      <c r="B256" s="3"/>
      <c r="C256" s="2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ht="15.75" customHeight="1">
      <c r="A257" s="3"/>
      <c r="B257" s="3"/>
      <c r="C257" s="2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ht="15.75" customHeight="1">
      <c r="A258" s="3"/>
      <c r="B258" s="3"/>
      <c r="C258" s="2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ht="15.75" customHeight="1">
      <c r="A259" s="3"/>
      <c r="B259" s="3"/>
      <c r="C259" s="2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ht="15.75" customHeight="1">
      <c r="A260" s="3"/>
      <c r="B260" s="3"/>
      <c r="C260" s="2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ht="15.75" customHeight="1">
      <c r="A261" s="3"/>
      <c r="B261" s="3"/>
      <c r="C261" s="2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ht="15.75" customHeight="1">
      <c r="A262" s="3"/>
      <c r="B262" s="3"/>
      <c r="C262" s="2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ht="15.75" customHeight="1">
      <c r="A263" s="3"/>
      <c r="B263" s="3"/>
      <c r="C263" s="2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ht="15.75" customHeight="1">
      <c r="A264" s="3"/>
      <c r="B264" s="3"/>
      <c r="C264" s="2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ht="15.75" customHeight="1">
      <c r="A265" s="3"/>
      <c r="B265" s="3"/>
      <c r="C265" s="2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ht="15.75" customHeight="1">
      <c r="A266" s="3"/>
      <c r="B266" s="3"/>
      <c r="C266" s="2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ht="15.75" customHeight="1">
      <c r="A267" s="3"/>
      <c r="B267" s="3"/>
      <c r="C267" s="2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ht="15.75" customHeight="1">
      <c r="A268" s="3"/>
      <c r="B268" s="3"/>
      <c r="C268" s="2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ht="15.75" customHeight="1">
      <c r="A269" s="3"/>
      <c r="B269" s="3"/>
      <c r="C269" s="2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ht="15.75" customHeight="1">
      <c r="A270" s="3"/>
      <c r="B270" s="3"/>
      <c r="C270" s="2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ht="15.75" customHeight="1">
      <c r="A271" s="3"/>
      <c r="B271" s="3"/>
      <c r="C271" s="2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ht="15.75" customHeight="1">
      <c r="A272" s="3"/>
      <c r="B272" s="3"/>
      <c r="C272" s="2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ht="15.75" customHeight="1">
      <c r="A273" s="3"/>
      <c r="B273" s="3"/>
      <c r="C273" s="2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ht="15.75" customHeight="1">
      <c r="A274" s="3"/>
      <c r="B274" s="3"/>
      <c r="C274" s="2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ht="15.75" customHeight="1">
      <c r="A275" s="3"/>
      <c r="B275" s="3"/>
      <c r="C275" s="2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ht="15.75" customHeight="1">
      <c r="A276" s="3"/>
      <c r="B276" s="3"/>
      <c r="C276" s="2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ht="15.75" customHeight="1">
      <c r="A277" s="3"/>
      <c r="B277" s="3"/>
      <c r="C277" s="2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ht="15.75" customHeight="1">
      <c r="A278" s="3"/>
      <c r="B278" s="3"/>
      <c r="C278" s="2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ht="15.75" customHeight="1">
      <c r="A279" s="3"/>
      <c r="B279" s="3"/>
      <c r="C279" s="2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ht="15.75" customHeight="1">
      <c r="A280" s="3"/>
      <c r="B280" s="3"/>
      <c r="C280" s="2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ht="15.75" customHeight="1">
      <c r="A281" s="3"/>
      <c r="B281" s="3"/>
      <c r="C281" s="2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ht="15.75" customHeight="1">
      <c r="A282" s="3"/>
      <c r="B282" s="3"/>
      <c r="C282" s="2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ht="15.75" customHeight="1">
      <c r="A283" s="3"/>
      <c r="B283" s="3"/>
      <c r="C283" s="2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ht="15.75" customHeight="1">
      <c r="A284" s="3"/>
      <c r="B284" s="3"/>
      <c r="C284" s="2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ht="15.75" customHeight="1">
      <c r="A285" s="3"/>
      <c r="B285" s="3"/>
      <c r="C285" s="2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ht="15.75" customHeight="1">
      <c r="A286" s="3"/>
      <c r="B286" s="3"/>
      <c r="C286" s="2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ht="15.75" customHeight="1">
      <c r="A287" s="3"/>
      <c r="B287" s="3"/>
      <c r="C287" s="2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ht="15.75" customHeight="1">
      <c r="A288" s="3"/>
      <c r="B288" s="3"/>
      <c r="C288" s="2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ht="15.75" customHeight="1">
      <c r="A289" s="3"/>
      <c r="B289" s="3"/>
      <c r="C289" s="2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ht="15.75" customHeight="1">
      <c r="A290" s="3"/>
      <c r="B290" s="3"/>
      <c r="C290" s="2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ht="15.75" customHeight="1">
      <c r="A291" s="3"/>
      <c r="B291" s="3"/>
      <c r="C291" s="2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ht="15.75" customHeight="1">
      <c r="A292" s="3"/>
      <c r="B292" s="3"/>
      <c r="C292" s="2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ht="15.75" customHeight="1">
      <c r="A293" s="3"/>
      <c r="B293" s="3"/>
      <c r="C293" s="2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ht="15.75" customHeight="1">
      <c r="A294" s="3"/>
      <c r="B294" s="3"/>
      <c r="C294" s="2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ht="15.75" customHeight="1">
      <c r="A295" s="3"/>
      <c r="B295" s="3"/>
      <c r="C295" s="2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ht="15.75" customHeight="1">
      <c r="A296" s="3"/>
      <c r="B296" s="3"/>
      <c r="C296" s="2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ht="15.75" customHeight="1">
      <c r="A297" s="3"/>
      <c r="B297" s="3"/>
      <c r="C297" s="2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ht="15.75" customHeight="1">
      <c r="A298" s="3"/>
      <c r="B298" s="3"/>
      <c r="C298" s="2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ht="15.75" customHeight="1">
      <c r="A299" s="3"/>
      <c r="B299" s="3"/>
      <c r="C299" s="2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ht="15.75" customHeight="1">
      <c r="A300" s="3"/>
      <c r="B300" s="3"/>
      <c r="C300" s="2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ht="15.75" customHeight="1">
      <c r="A301" s="3"/>
      <c r="B301" s="3"/>
      <c r="C301" s="2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ht="15.75" customHeight="1">
      <c r="A302" s="3"/>
      <c r="B302" s="3"/>
      <c r="C302" s="2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ht="15.75" customHeight="1">
      <c r="A303" s="3"/>
      <c r="B303" s="3"/>
      <c r="C303" s="2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ht="15.75" customHeight="1">
      <c r="A304" s="3"/>
      <c r="B304" s="3"/>
      <c r="C304" s="2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ht="15.75" customHeight="1">
      <c r="A305" s="3"/>
      <c r="B305" s="3"/>
      <c r="C305" s="2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ht="15.75" customHeight="1">
      <c r="A306" s="3"/>
      <c r="B306" s="3"/>
      <c r="C306" s="2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ht="15.75" customHeight="1">
      <c r="A307" s="3"/>
      <c r="B307" s="3"/>
      <c r="C307" s="2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ht="15.75" customHeight="1">
      <c r="A308" s="3"/>
      <c r="B308" s="3"/>
      <c r="C308" s="2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ht="15.75" customHeight="1">
      <c r="A309" s="3"/>
      <c r="B309" s="3"/>
      <c r="C309" s="2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ht="15.75" customHeight="1">
      <c r="A310" s="3"/>
      <c r="B310" s="3"/>
      <c r="C310" s="2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ht="15.75" customHeight="1">
      <c r="A311" s="3"/>
      <c r="B311" s="3"/>
      <c r="C311" s="2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ht="15.75" customHeight="1">
      <c r="A312" s="3"/>
      <c r="B312" s="3"/>
      <c r="C312" s="2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ht="15.75" customHeight="1">
      <c r="A313" s="3"/>
      <c r="B313" s="3"/>
      <c r="C313" s="2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ht="15.75" customHeight="1">
      <c r="A314" s="3"/>
      <c r="B314" s="3"/>
      <c r="C314" s="2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ht="15.75" customHeight="1">
      <c r="A315" s="3"/>
      <c r="B315" s="3"/>
      <c r="C315" s="2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ht="15.75" customHeight="1">
      <c r="A316" s="3"/>
      <c r="B316" s="3"/>
      <c r="C316" s="2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ht="15.75" customHeight="1">
      <c r="A317" s="3"/>
      <c r="B317" s="3"/>
      <c r="C317" s="2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ht="15.75" customHeight="1">
      <c r="A318" s="3"/>
      <c r="B318" s="3"/>
      <c r="C318" s="2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ht="15.75" customHeight="1">
      <c r="A319" s="3"/>
      <c r="B319" s="3"/>
      <c r="C319" s="2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ht="15.75" customHeight="1">
      <c r="A320" s="3"/>
      <c r="B320" s="3"/>
      <c r="C320" s="2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ht="15.75" customHeight="1">
      <c r="A321" s="3"/>
      <c r="B321" s="3"/>
      <c r="C321" s="2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ht="15.75" customHeight="1">
      <c r="A322" s="3"/>
      <c r="B322" s="3"/>
      <c r="C322" s="2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ht="15.75" customHeight="1">
      <c r="A323" s="3"/>
      <c r="B323" s="3"/>
      <c r="C323" s="2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ht="15.75" customHeight="1">
      <c r="A324" s="3"/>
      <c r="B324" s="3"/>
      <c r="C324" s="2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ht="15.75" customHeight="1">
      <c r="A325" s="3"/>
      <c r="B325" s="3"/>
      <c r="C325" s="2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ht="15.75" customHeight="1">
      <c r="A326" s="3"/>
      <c r="B326" s="3"/>
      <c r="C326" s="2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ht="15.75" customHeight="1">
      <c r="A327" s="3"/>
      <c r="B327" s="3"/>
      <c r="C327" s="2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ht="15.75" customHeight="1">
      <c r="A328" s="3"/>
      <c r="B328" s="3"/>
      <c r="C328" s="2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ht="15.75" customHeight="1">
      <c r="A329" s="3"/>
      <c r="B329" s="3"/>
      <c r="C329" s="2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ht="15.75" customHeight="1">
      <c r="A330" s="3"/>
      <c r="B330" s="3"/>
      <c r="C330" s="2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ht="15.75" customHeight="1">
      <c r="A331" s="3"/>
      <c r="B331" s="3"/>
      <c r="C331" s="2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ht="15.75" customHeight="1">
      <c r="A332" s="3"/>
      <c r="B332" s="3"/>
      <c r="C332" s="2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ht="15.75" customHeight="1">
      <c r="A333" s="3"/>
      <c r="B333" s="3"/>
      <c r="C333" s="2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ht="15.75" customHeight="1">
      <c r="A334" s="3"/>
      <c r="B334" s="3"/>
      <c r="C334" s="2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ht="15.75" customHeight="1">
      <c r="A335" s="3"/>
      <c r="B335" s="3"/>
      <c r="C335" s="2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ht="15.75" customHeight="1">
      <c r="A336" s="3"/>
      <c r="B336" s="3"/>
      <c r="C336" s="2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ht="15.75" customHeight="1">
      <c r="A337" s="3"/>
      <c r="B337" s="3"/>
      <c r="C337" s="2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ht="15.75" customHeight="1">
      <c r="A338" s="3"/>
      <c r="B338" s="3"/>
      <c r="C338" s="2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ht="15.75" customHeight="1">
      <c r="A339" s="3"/>
      <c r="B339" s="3"/>
      <c r="C339" s="2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ht="15.75" customHeight="1">
      <c r="A340" s="3"/>
      <c r="B340" s="3"/>
      <c r="C340" s="2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ht="15.75" customHeight="1">
      <c r="A341" s="3"/>
      <c r="B341" s="3"/>
      <c r="C341" s="2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ht="15.75" customHeight="1">
      <c r="A342" s="3"/>
      <c r="B342" s="3"/>
      <c r="C342" s="2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ht="15.75" customHeight="1">
      <c r="A343" s="3"/>
      <c r="B343" s="3"/>
      <c r="C343" s="2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ht="15.75" customHeight="1">
      <c r="A344" s="3"/>
      <c r="B344" s="3"/>
      <c r="C344" s="2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ht="15.75" customHeight="1">
      <c r="A345" s="3"/>
      <c r="B345" s="3"/>
      <c r="C345" s="2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ht="15.75" customHeight="1">
      <c r="A346" s="3"/>
      <c r="B346" s="3"/>
      <c r="C346" s="2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ht="15.75" customHeight="1">
      <c r="A347" s="3"/>
      <c r="B347" s="3"/>
      <c r="C347" s="2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ht="15.75" customHeight="1">
      <c r="A348" s="3"/>
      <c r="B348" s="3"/>
      <c r="C348" s="2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ht="15.75" customHeight="1">
      <c r="A349" s="3"/>
      <c r="B349" s="3"/>
      <c r="C349" s="2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ht="15.75" customHeight="1">
      <c r="A350" s="3"/>
      <c r="B350" s="3"/>
      <c r="C350" s="2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ht="15.75" customHeight="1">
      <c r="A351" s="3"/>
      <c r="B351" s="3"/>
      <c r="C351" s="2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ht="15.75" customHeight="1">
      <c r="A352" s="3"/>
      <c r="B352" s="3"/>
      <c r="C352" s="2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ht="15.75" customHeight="1">
      <c r="A353" s="3"/>
      <c r="B353" s="3"/>
      <c r="C353" s="2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ht="15.75" customHeight="1">
      <c r="A354" s="3"/>
      <c r="B354" s="3"/>
      <c r="C354" s="2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ht="15.75" customHeight="1">
      <c r="A355" s="3"/>
      <c r="B355" s="3"/>
      <c r="C355" s="2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ht="15.75" customHeight="1">
      <c r="A356" s="3"/>
      <c r="B356" s="3"/>
      <c r="C356" s="2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ht="15.75" customHeight="1">
      <c r="A357" s="3"/>
      <c r="B357" s="3"/>
      <c r="C357" s="2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ht="15.75" customHeight="1">
      <c r="A358" s="3"/>
      <c r="B358" s="3"/>
      <c r="C358" s="2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ht="15.75" customHeight="1">
      <c r="A359" s="3"/>
      <c r="B359" s="3"/>
      <c r="C359" s="2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ht="15.75" customHeight="1">
      <c r="A360" s="3"/>
      <c r="B360" s="3"/>
      <c r="C360" s="2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ht="15.75" customHeight="1">
      <c r="A361" s="3"/>
      <c r="B361" s="3"/>
      <c r="C361" s="2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ht="15.75" customHeight="1">
      <c r="A362" s="3"/>
      <c r="B362" s="3"/>
      <c r="C362" s="2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ht="15.75" customHeight="1">
      <c r="A363" s="3"/>
      <c r="B363" s="3"/>
      <c r="C363" s="2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ht="15.75" customHeight="1">
      <c r="A364" s="3"/>
      <c r="B364" s="3"/>
      <c r="C364" s="2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ht="15.75" customHeight="1">
      <c r="A365" s="3"/>
      <c r="B365" s="3"/>
      <c r="C365" s="2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ht="15.75" customHeight="1">
      <c r="A366" s="3"/>
      <c r="B366" s="3"/>
      <c r="C366" s="2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ht="15.75" customHeight="1">
      <c r="A367" s="3"/>
      <c r="B367" s="3"/>
      <c r="C367" s="2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ht="15.75" customHeight="1">
      <c r="A368" s="3"/>
      <c r="B368" s="3"/>
      <c r="C368" s="2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ht="15.75" customHeight="1">
      <c r="A369" s="3"/>
      <c r="B369" s="3"/>
      <c r="C369" s="2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ht="15.75" customHeight="1">
      <c r="A370" s="3"/>
      <c r="B370" s="3"/>
      <c r="C370" s="2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ht="15.75" customHeight="1">
      <c r="A371" s="3"/>
      <c r="B371" s="3"/>
      <c r="C371" s="2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ht="15.75" customHeight="1">
      <c r="A372" s="3"/>
      <c r="B372" s="3"/>
      <c r="C372" s="2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ht="15.75" customHeight="1">
      <c r="A373" s="3"/>
      <c r="B373" s="3"/>
      <c r="C373" s="2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ht="15.75" customHeight="1">
      <c r="A374" s="3"/>
      <c r="B374" s="3"/>
      <c r="C374" s="2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ht="15.75" customHeight="1">
      <c r="A375" s="3"/>
      <c r="B375" s="3"/>
      <c r="C375" s="2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ht="15.75" customHeight="1">
      <c r="A376" s="3"/>
      <c r="B376" s="3"/>
      <c r="C376" s="2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ht="15.75" customHeight="1">
      <c r="A377" s="3"/>
      <c r="B377" s="3"/>
      <c r="C377" s="2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ht="15.75" customHeight="1">
      <c r="A378" s="3"/>
      <c r="B378" s="3"/>
      <c r="C378" s="2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ht="15.75" customHeight="1">
      <c r="A379" s="3"/>
      <c r="B379" s="3"/>
      <c r="C379" s="2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ht="15.75" customHeight="1">
      <c r="A380" s="3"/>
      <c r="B380" s="3"/>
      <c r="C380" s="2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ht="15.75" customHeight="1">
      <c r="A381" s="3"/>
      <c r="B381" s="3"/>
      <c r="C381" s="2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ht="15.75" customHeight="1">
      <c r="A382" s="3"/>
      <c r="B382" s="3"/>
      <c r="C382" s="2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ht="15.75" customHeight="1">
      <c r="A383" s="3"/>
      <c r="B383" s="3"/>
      <c r="C383" s="2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ht="15.75" customHeight="1">
      <c r="A384" s="3"/>
      <c r="B384" s="3"/>
      <c r="C384" s="2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ht="15.75" customHeight="1">
      <c r="A385" s="3"/>
      <c r="B385" s="3"/>
      <c r="C385" s="2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ht="15.75" customHeight="1">
      <c r="A386" s="3"/>
      <c r="B386" s="3"/>
      <c r="C386" s="2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ht="15.75" customHeight="1">
      <c r="A387" s="3"/>
      <c r="B387" s="3"/>
      <c r="C387" s="2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ht="15.75" customHeight="1">
      <c r="A388" s="3"/>
      <c r="B388" s="3"/>
      <c r="C388" s="2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ht="15.75" customHeight="1">
      <c r="A389" s="3"/>
      <c r="B389" s="3"/>
      <c r="C389" s="2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ht="15.75" customHeight="1">
      <c r="A390" s="3"/>
      <c r="B390" s="3"/>
      <c r="C390" s="2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ht="15.75" customHeight="1">
      <c r="A391" s="3"/>
      <c r="B391" s="3"/>
      <c r="C391" s="2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ht="15.75" customHeight="1">
      <c r="A392" s="3"/>
      <c r="B392" s="3"/>
      <c r="C392" s="2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ht="15.75" customHeight="1">
      <c r="A393" s="3"/>
      <c r="B393" s="3"/>
      <c r="C393" s="2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ht="15.75" customHeight="1">
      <c r="A394" s="3"/>
      <c r="B394" s="3"/>
      <c r="C394" s="2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ht="15.75" customHeight="1">
      <c r="A395" s="3"/>
      <c r="B395" s="3"/>
      <c r="C395" s="2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ht="15.75" customHeight="1">
      <c r="A396" s="3"/>
      <c r="B396" s="3"/>
      <c r="C396" s="2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ht="15.75" customHeight="1">
      <c r="A397" s="3"/>
      <c r="B397" s="3"/>
      <c r="C397" s="2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ht="15.75" customHeight="1">
      <c r="A398" s="3"/>
      <c r="B398" s="3"/>
      <c r="C398" s="2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ht="15.75" customHeight="1">
      <c r="A399" s="3"/>
      <c r="B399" s="3"/>
      <c r="C399" s="2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ht="15.75" customHeight="1">
      <c r="A400" s="3"/>
      <c r="B400" s="3"/>
      <c r="C400" s="2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ht="15.75" customHeight="1">
      <c r="A401" s="3"/>
      <c r="B401" s="3"/>
      <c r="C401" s="2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ht="15.75" customHeight="1">
      <c r="A402" s="3"/>
      <c r="B402" s="3"/>
      <c r="C402" s="2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ht="15.75" customHeight="1">
      <c r="A403" s="3"/>
      <c r="B403" s="3"/>
      <c r="C403" s="2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ht="15.75" customHeight="1">
      <c r="A404" s="3"/>
      <c r="B404" s="3"/>
      <c r="C404" s="2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ht="15.75" customHeight="1">
      <c r="A405" s="3"/>
      <c r="B405" s="3"/>
      <c r="C405" s="2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ht="15.75" customHeight="1">
      <c r="A406" s="3"/>
      <c r="B406" s="3"/>
      <c r="C406" s="2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ht="15.75" customHeight="1">
      <c r="A407" s="3"/>
      <c r="B407" s="3"/>
      <c r="C407" s="2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ht="15.75" customHeight="1">
      <c r="A408" s="3"/>
      <c r="B408" s="3"/>
      <c r="C408" s="2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ht="15.75" customHeight="1">
      <c r="A409" s="3"/>
      <c r="B409" s="3"/>
      <c r="C409" s="2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ht="15.75" customHeight="1">
      <c r="A410" s="3"/>
      <c r="B410" s="3"/>
      <c r="C410" s="2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ht="15.75" customHeight="1">
      <c r="A411" s="3"/>
      <c r="B411" s="3"/>
      <c r="C411" s="2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ht="15.75" customHeight="1">
      <c r="A412" s="3"/>
      <c r="B412" s="3"/>
      <c r="C412" s="2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ht="15.75" customHeight="1">
      <c r="A413" s="3"/>
      <c r="B413" s="3"/>
      <c r="C413" s="2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ht="15.75" customHeight="1">
      <c r="A414" s="3"/>
      <c r="B414" s="3"/>
      <c r="C414" s="2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ht="15.75" customHeight="1">
      <c r="A415" s="3"/>
      <c r="B415" s="3"/>
      <c r="C415" s="2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ht="15.75" customHeight="1">
      <c r="A416" s="3"/>
      <c r="B416" s="3"/>
      <c r="C416" s="2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ht="15.75" customHeight="1">
      <c r="A417" s="3"/>
      <c r="B417" s="3"/>
      <c r="C417" s="2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ht="15.75" customHeight="1">
      <c r="A418" s="3"/>
      <c r="B418" s="3"/>
      <c r="C418" s="2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ht="15.75" customHeight="1">
      <c r="A419" s="3"/>
      <c r="B419" s="3"/>
      <c r="C419" s="2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ht="15.75" customHeight="1">
      <c r="A420" s="3"/>
      <c r="B420" s="3"/>
      <c r="C420" s="2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ht="15.75" customHeight="1">
      <c r="A421" s="3"/>
      <c r="B421" s="3"/>
      <c r="C421" s="2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ht="15.75" customHeight="1">
      <c r="A422" s="3"/>
      <c r="B422" s="3"/>
      <c r="C422" s="2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ht="15.75" customHeight="1">
      <c r="A423" s="3"/>
      <c r="B423" s="3"/>
      <c r="C423" s="2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ht="15.75" customHeight="1">
      <c r="A424" s="3"/>
      <c r="B424" s="3"/>
      <c r="C424" s="2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ht="15.75" customHeight="1">
      <c r="A425" s="3"/>
      <c r="B425" s="3"/>
      <c r="C425" s="2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ht="15.75" customHeight="1">
      <c r="A426" s="3"/>
      <c r="B426" s="3"/>
      <c r="C426" s="2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ht="15.75" customHeight="1">
      <c r="A427" s="3"/>
      <c r="B427" s="3"/>
      <c r="C427" s="2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ht="15.75" customHeight="1">
      <c r="A428" s="3"/>
      <c r="B428" s="3"/>
      <c r="C428" s="2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ht="15.75" customHeight="1">
      <c r="A429" s="3"/>
      <c r="B429" s="3"/>
      <c r="C429" s="2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ht="15.75" customHeight="1">
      <c r="A430" s="3"/>
      <c r="B430" s="3"/>
      <c r="C430" s="2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ht="15.75" customHeight="1">
      <c r="A431" s="3"/>
      <c r="B431" s="3"/>
      <c r="C431" s="2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ht="15.75" customHeight="1">
      <c r="A432" s="3"/>
      <c r="B432" s="3"/>
      <c r="C432" s="2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ht="15.75" customHeight="1">
      <c r="A433" s="3"/>
      <c r="B433" s="3"/>
      <c r="C433" s="2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ht="15.75" customHeight="1">
      <c r="A434" s="3"/>
      <c r="B434" s="3"/>
      <c r="C434" s="2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ht="15.75" customHeight="1">
      <c r="A435" s="3"/>
      <c r="B435" s="3"/>
      <c r="C435" s="2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ht="15.75" customHeight="1">
      <c r="A436" s="3"/>
      <c r="B436" s="3"/>
      <c r="C436" s="2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ht="15.75" customHeight="1">
      <c r="A437" s="3"/>
      <c r="B437" s="3"/>
      <c r="C437" s="2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ht="15.75" customHeight="1">
      <c r="A438" s="3"/>
      <c r="B438" s="3"/>
      <c r="C438" s="2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ht="15.75" customHeight="1">
      <c r="A439" s="3"/>
      <c r="B439" s="3"/>
      <c r="C439" s="2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ht="15.75" customHeight="1">
      <c r="A440" s="3"/>
      <c r="B440" s="3"/>
      <c r="C440" s="2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ht="15.75" customHeight="1">
      <c r="A441" s="3"/>
      <c r="B441" s="3"/>
      <c r="C441" s="2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ht="15.75" customHeight="1">
      <c r="A442" s="3"/>
      <c r="B442" s="3"/>
      <c r="C442" s="2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ht="15.75" customHeight="1">
      <c r="A443" s="3"/>
      <c r="B443" s="3"/>
      <c r="C443" s="2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ht="15.75" customHeight="1">
      <c r="A444" s="3"/>
      <c r="B444" s="3"/>
      <c r="C444" s="2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ht="15.75" customHeight="1">
      <c r="A445" s="3"/>
      <c r="B445" s="3"/>
      <c r="C445" s="2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ht="15.75" customHeight="1">
      <c r="A446" s="3"/>
      <c r="B446" s="3"/>
      <c r="C446" s="2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ht="15.75" customHeight="1">
      <c r="A447" s="3"/>
      <c r="B447" s="3"/>
      <c r="C447" s="2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ht="15.75" customHeight="1">
      <c r="A448" s="3"/>
      <c r="B448" s="3"/>
      <c r="C448" s="2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ht="15.75" customHeight="1">
      <c r="A449" s="3"/>
      <c r="B449" s="3"/>
      <c r="C449" s="2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ht="15.75" customHeight="1">
      <c r="A450" s="3"/>
      <c r="B450" s="3"/>
      <c r="C450" s="2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ht="15.75" customHeight="1">
      <c r="A451" s="3"/>
      <c r="B451" s="3"/>
      <c r="C451" s="2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ht="15.75" customHeight="1">
      <c r="A452" s="3"/>
      <c r="B452" s="3"/>
      <c r="C452" s="2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ht="15.75" customHeight="1">
      <c r="A453" s="3"/>
      <c r="B453" s="3"/>
      <c r="C453" s="2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ht="15.75" customHeight="1">
      <c r="A454" s="3"/>
      <c r="B454" s="3"/>
      <c r="C454" s="2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ht="15.75" customHeight="1">
      <c r="A455" s="3"/>
      <c r="B455" s="3"/>
      <c r="C455" s="2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ht="15.75" customHeight="1">
      <c r="A456" s="3"/>
      <c r="B456" s="3"/>
      <c r="C456" s="2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ht="15.75" customHeight="1">
      <c r="A457" s="3"/>
      <c r="B457" s="3"/>
      <c r="C457" s="2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ht="15.75" customHeight="1">
      <c r="A458" s="3"/>
      <c r="B458" s="3"/>
      <c r="C458" s="2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ht="15.75" customHeight="1">
      <c r="A459" s="3"/>
      <c r="B459" s="3"/>
      <c r="C459" s="2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ht="15.75" customHeight="1">
      <c r="A460" s="3"/>
      <c r="B460" s="3"/>
      <c r="C460" s="2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ht="15.75" customHeight="1">
      <c r="A461" s="3"/>
      <c r="B461" s="3"/>
      <c r="C461" s="2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ht="15.75" customHeight="1">
      <c r="A462" s="3"/>
      <c r="B462" s="3"/>
      <c r="C462" s="2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ht="15.75" customHeight="1">
      <c r="A463" s="3"/>
      <c r="B463" s="3"/>
      <c r="C463" s="2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ht="15.75" customHeight="1">
      <c r="A464" s="3"/>
      <c r="B464" s="3"/>
      <c r="C464" s="2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ht="15.75" customHeight="1">
      <c r="A465" s="3"/>
      <c r="B465" s="3"/>
      <c r="C465" s="2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ht="15.75" customHeight="1">
      <c r="A466" s="3"/>
      <c r="B466" s="3"/>
      <c r="C466" s="2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ht="15.75" customHeight="1">
      <c r="A467" s="3"/>
      <c r="B467" s="3"/>
      <c r="C467" s="2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ht="15.75" customHeight="1">
      <c r="A468" s="3"/>
      <c r="B468" s="3"/>
      <c r="C468" s="2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ht="15.75" customHeight="1">
      <c r="A469" s="3"/>
      <c r="B469" s="3"/>
      <c r="C469" s="2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ht="15.75" customHeight="1">
      <c r="A470" s="3"/>
      <c r="B470" s="3"/>
      <c r="C470" s="2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ht="15.75" customHeight="1">
      <c r="A471" s="3"/>
      <c r="B471" s="3"/>
      <c r="C471" s="2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ht="15.75" customHeight="1">
      <c r="A472" s="3"/>
      <c r="B472" s="3"/>
      <c r="C472" s="2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ht="15.75" customHeight="1">
      <c r="A473" s="3"/>
      <c r="B473" s="3"/>
      <c r="C473" s="2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ht="15.75" customHeight="1">
      <c r="A474" s="3"/>
      <c r="B474" s="3"/>
      <c r="C474" s="2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ht="15.75" customHeight="1">
      <c r="A475" s="3"/>
      <c r="B475" s="3"/>
      <c r="C475" s="2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ht="15.75" customHeight="1">
      <c r="A476" s="3"/>
      <c r="B476" s="3"/>
      <c r="C476" s="2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ht="15.75" customHeight="1">
      <c r="A477" s="3"/>
      <c r="B477" s="3"/>
      <c r="C477" s="2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ht="15.75" customHeight="1">
      <c r="A478" s="3"/>
      <c r="B478" s="3"/>
      <c r="C478" s="2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ht="15.75" customHeight="1">
      <c r="A479" s="3"/>
      <c r="B479" s="3"/>
      <c r="C479" s="2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ht="15.75" customHeight="1">
      <c r="A480" s="3"/>
      <c r="B480" s="3"/>
      <c r="C480" s="2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ht="15.75" customHeight="1">
      <c r="A481" s="3"/>
      <c r="B481" s="3"/>
      <c r="C481" s="2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ht="15.75" customHeight="1">
      <c r="A482" s="3"/>
      <c r="B482" s="3"/>
      <c r="C482" s="2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ht="15.75" customHeight="1">
      <c r="A483" s="3"/>
      <c r="B483" s="3"/>
      <c r="C483" s="2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ht="15.75" customHeight="1">
      <c r="A484" s="3"/>
      <c r="B484" s="3"/>
      <c r="C484" s="2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ht="15.75" customHeight="1">
      <c r="A485" s="3"/>
      <c r="B485" s="3"/>
      <c r="C485" s="2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ht="15.75" customHeight="1">
      <c r="A486" s="3"/>
      <c r="B486" s="3"/>
      <c r="C486" s="2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ht="15.75" customHeight="1">
      <c r="A487" s="3"/>
      <c r="B487" s="3"/>
      <c r="C487" s="2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ht="15.75" customHeight="1">
      <c r="A488" s="3"/>
      <c r="B488" s="3"/>
      <c r="C488" s="2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ht="15.75" customHeight="1">
      <c r="A489" s="3"/>
      <c r="B489" s="3"/>
      <c r="C489" s="2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ht="15.75" customHeight="1">
      <c r="A490" s="3"/>
      <c r="B490" s="3"/>
      <c r="C490" s="2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ht="15.75" customHeight="1">
      <c r="A491" s="3"/>
      <c r="B491" s="3"/>
      <c r="C491" s="2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ht="15.75" customHeight="1">
      <c r="A492" s="3"/>
      <c r="B492" s="3"/>
      <c r="C492" s="2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ht="15.75" customHeight="1">
      <c r="A493" s="3"/>
      <c r="B493" s="3"/>
      <c r="C493" s="2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ht="15.75" customHeight="1">
      <c r="A494" s="3"/>
      <c r="B494" s="3"/>
      <c r="C494" s="2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ht="15.75" customHeight="1">
      <c r="A495" s="3"/>
      <c r="B495" s="3"/>
      <c r="C495" s="2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ht="15.75" customHeight="1">
      <c r="A496" s="3"/>
      <c r="B496" s="3"/>
      <c r="C496" s="2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ht="15.75" customHeight="1">
      <c r="A497" s="3"/>
      <c r="B497" s="3"/>
      <c r="C497" s="2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ht="15.75" customHeight="1">
      <c r="A498" s="3"/>
      <c r="B498" s="3"/>
      <c r="C498" s="2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ht="15.75" customHeight="1">
      <c r="A499" s="3"/>
      <c r="B499" s="3"/>
      <c r="C499" s="2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ht="15.75" customHeight="1">
      <c r="A500" s="3"/>
      <c r="B500" s="3"/>
      <c r="C500" s="2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ht="15.75" customHeight="1">
      <c r="A501" s="3"/>
      <c r="B501" s="3"/>
      <c r="C501" s="2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ht="15.75" customHeight="1">
      <c r="A502" s="3"/>
      <c r="B502" s="3"/>
      <c r="C502" s="2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ht="15.75" customHeight="1">
      <c r="A503" s="3"/>
      <c r="B503" s="3"/>
      <c r="C503" s="2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ht="15.75" customHeight="1">
      <c r="A504" s="3"/>
      <c r="B504" s="3"/>
      <c r="C504" s="2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ht="15.75" customHeight="1">
      <c r="A505" s="3"/>
      <c r="B505" s="3"/>
      <c r="C505" s="2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ht="15.75" customHeight="1">
      <c r="A506" s="3"/>
      <c r="B506" s="3"/>
      <c r="C506" s="2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ht="15.75" customHeight="1">
      <c r="A507" s="3"/>
      <c r="B507" s="3"/>
      <c r="C507" s="2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ht="15.75" customHeight="1">
      <c r="A508" s="3"/>
      <c r="B508" s="3"/>
      <c r="C508" s="2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ht="15.75" customHeight="1">
      <c r="A509" s="3"/>
      <c r="B509" s="3"/>
      <c r="C509" s="2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ht="15.75" customHeight="1">
      <c r="A510" s="3"/>
      <c r="B510" s="3"/>
      <c r="C510" s="2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ht="15.75" customHeight="1">
      <c r="A511" s="3"/>
      <c r="B511" s="3"/>
      <c r="C511" s="2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ht="15.75" customHeight="1">
      <c r="A512" s="3"/>
      <c r="B512" s="3"/>
      <c r="C512" s="2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ht="15.75" customHeight="1">
      <c r="A513" s="3"/>
      <c r="B513" s="3"/>
      <c r="C513" s="2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ht="15.75" customHeight="1">
      <c r="A514" s="3"/>
      <c r="B514" s="3"/>
      <c r="C514" s="2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ht="15.75" customHeight="1">
      <c r="A515" s="3"/>
      <c r="B515" s="3"/>
      <c r="C515" s="2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ht="15.75" customHeight="1">
      <c r="A516" s="3"/>
      <c r="B516" s="3"/>
      <c r="C516" s="2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ht="15.75" customHeight="1">
      <c r="A517" s="3"/>
      <c r="B517" s="3"/>
      <c r="C517" s="2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ht="15.75" customHeight="1">
      <c r="A518" s="3"/>
      <c r="B518" s="3"/>
      <c r="C518" s="2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ht="15.75" customHeight="1">
      <c r="A519" s="3"/>
      <c r="B519" s="3"/>
      <c r="C519" s="2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ht="15.75" customHeight="1">
      <c r="A520" s="3"/>
      <c r="B520" s="3"/>
      <c r="C520" s="2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ht="15.75" customHeight="1">
      <c r="A521" s="3"/>
      <c r="B521" s="3"/>
      <c r="C521" s="2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ht="15.75" customHeight="1">
      <c r="A522" s="3"/>
      <c r="B522" s="3"/>
      <c r="C522" s="2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ht="15.75" customHeight="1">
      <c r="A523" s="3"/>
      <c r="B523" s="3"/>
      <c r="C523" s="2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ht="15.75" customHeight="1">
      <c r="A524" s="3"/>
      <c r="B524" s="3"/>
      <c r="C524" s="2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ht="15.75" customHeight="1">
      <c r="A525" s="3"/>
      <c r="B525" s="3"/>
      <c r="C525" s="2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ht="15.75" customHeight="1">
      <c r="A526" s="3"/>
      <c r="B526" s="3"/>
      <c r="C526" s="2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ht="15.75" customHeight="1">
      <c r="A527" s="3"/>
      <c r="B527" s="3"/>
      <c r="C527" s="2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ht="15.75" customHeight="1">
      <c r="A528" s="3"/>
      <c r="B528" s="3"/>
      <c r="C528" s="2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ht="15.75" customHeight="1">
      <c r="A529" s="3"/>
      <c r="B529" s="3"/>
      <c r="C529" s="2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ht="15.75" customHeight="1">
      <c r="A530" s="3"/>
      <c r="B530" s="3"/>
      <c r="C530" s="2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ht="15.75" customHeight="1">
      <c r="A531" s="3"/>
      <c r="B531" s="3"/>
      <c r="C531" s="2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ht="15.75" customHeight="1">
      <c r="A532" s="3"/>
      <c r="B532" s="3"/>
      <c r="C532" s="2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ht="15.75" customHeight="1">
      <c r="A533" s="3"/>
      <c r="B533" s="3"/>
      <c r="C533" s="2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ht="15.75" customHeight="1">
      <c r="A534" s="3"/>
      <c r="B534" s="3"/>
      <c r="C534" s="2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ht="15.75" customHeight="1">
      <c r="A535" s="3"/>
      <c r="B535" s="3"/>
      <c r="C535" s="2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ht="15.75" customHeight="1">
      <c r="A536" s="3"/>
      <c r="B536" s="3"/>
      <c r="C536" s="2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ht="15.75" customHeight="1">
      <c r="A537" s="3"/>
      <c r="B537" s="3"/>
      <c r="C537" s="2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ht="15.75" customHeight="1">
      <c r="A538" s="3"/>
      <c r="B538" s="3"/>
      <c r="C538" s="2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ht="15.75" customHeight="1">
      <c r="A539" s="3"/>
      <c r="B539" s="3"/>
      <c r="C539" s="2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ht="15.75" customHeight="1">
      <c r="A540" s="3"/>
      <c r="B540" s="3"/>
      <c r="C540" s="2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ht="15.75" customHeight="1">
      <c r="A541" s="3"/>
      <c r="B541" s="3"/>
      <c r="C541" s="2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ht="15.75" customHeight="1">
      <c r="A542" s="3"/>
      <c r="B542" s="3"/>
      <c r="C542" s="2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ht="15.75" customHeight="1">
      <c r="A543" s="3"/>
      <c r="B543" s="3"/>
      <c r="C543" s="2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ht="15.75" customHeight="1">
      <c r="A544" s="3"/>
      <c r="B544" s="3"/>
      <c r="C544" s="2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ht="15.75" customHeight="1">
      <c r="A545" s="3"/>
      <c r="B545" s="3"/>
      <c r="C545" s="2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ht="15.75" customHeight="1">
      <c r="A546" s="3"/>
      <c r="B546" s="3"/>
      <c r="C546" s="2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ht="15.75" customHeight="1">
      <c r="A547" s="3"/>
      <c r="B547" s="3"/>
      <c r="C547" s="2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ht="15.75" customHeight="1">
      <c r="A548" s="3"/>
      <c r="B548" s="3"/>
      <c r="C548" s="2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ht="15.75" customHeight="1">
      <c r="A549" s="3"/>
      <c r="B549" s="3"/>
      <c r="C549" s="2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ht="15.75" customHeight="1">
      <c r="A550" s="3"/>
      <c r="B550" s="3"/>
      <c r="C550" s="2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ht="15.75" customHeight="1">
      <c r="A551" s="3"/>
      <c r="B551" s="3"/>
      <c r="C551" s="2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ht="15.75" customHeight="1">
      <c r="A552" s="3"/>
      <c r="B552" s="3"/>
      <c r="C552" s="2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ht="15.75" customHeight="1">
      <c r="A553" s="3"/>
      <c r="B553" s="3"/>
      <c r="C553" s="2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ht="15.75" customHeight="1">
      <c r="A554" s="3"/>
      <c r="B554" s="3"/>
      <c r="C554" s="2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ht="15.75" customHeight="1">
      <c r="A555" s="3"/>
      <c r="B555" s="3"/>
      <c r="C555" s="2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ht="15.75" customHeight="1">
      <c r="A556" s="3"/>
      <c r="B556" s="3"/>
      <c r="C556" s="2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ht="15.75" customHeight="1">
      <c r="A557" s="3"/>
      <c r="B557" s="3"/>
      <c r="C557" s="2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ht="15.75" customHeight="1">
      <c r="A558" s="3"/>
      <c r="B558" s="3"/>
      <c r="C558" s="2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ht="15.75" customHeight="1">
      <c r="A559" s="3"/>
      <c r="B559" s="3"/>
      <c r="C559" s="2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ht="15.75" customHeight="1">
      <c r="A560" s="3"/>
      <c r="B560" s="3"/>
      <c r="C560" s="2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ht="15.75" customHeight="1">
      <c r="A561" s="3"/>
      <c r="B561" s="3"/>
      <c r="C561" s="2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ht="15.75" customHeight="1">
      <c r="A562" s="3"/>
      <c r="B562" s="3"/>
      <c r="C562" s="2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ht="15.75" customHeight="1">
      <c r="A563" s="3"/>
      <c r="B563" s="3"/>
      <c r="C563" s="2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ht="15.75" customHeight="1">
      <c r="A564" s="3"/>
      <c r="B564" s="3"/>
      <c r="C564" s="2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ht="15.75" customHeight="1">
      <c r="A565" s="3"/>
      <c r="B565" s="3"/>
      <c r="C565" s="2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ht="15.75" customHeight="1">
      <c r="A566" s="3"/>
      <c r="B566" s="3"/>
      <c r="C566" s="2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ht="15.75" customHeight="1">
      <c r="A567" s="3"/>
      <c r="B567" s="3"/>
      <c r="C567" s="2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ht="15.75" customHeight="1">
      <c r="A568" s="3"/>
      <c r="B568" s="3"/>
      <c r="C568" s="2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ht="15.75" customHeight="1">
      <c r="A569" s="3"/>
      <c r="B569" s="3"/>
      <c r="C569" s="2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ht="15.75" customHeight="1">
      <c r="A570" s="3"/>
      <c r="B570" s="3"/>
      <c r="C570" s="2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ht="15.75" customHeight="1">
      <c r="A571" s="3"/>
      <c r="B571" s="3"/>
      <c r="C571" s="2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ht="15.75" customHeight="1">
      <c r="A572" s="3"/>
      <c r="B572" s="3"/>
      <c r="C572" s="2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ht="15.75" customHeight="1">
      <c r="A573" s="3"/>
      <c r="B573" s="3"/>
      <c r="C573" s="2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ht="15.75" customHeight="1">
      <c r="A574" s="3"/>
      <c r="B574" s="3"/>
      <c r="C574" s="2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ht="15.75" customHeight="1">
      <c r="A575" s="3"/>
      <c r="B575" s="3"/>
      <c r="C575" s="2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ht="15.75" customHeight="1">
      <c r="A576" s="3"/>
      <c r="B576" s="3"/>
      <c r="C576" s="2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ht="15.75" customHeight="1">
      <c r="A577" s="3"/>
      <c r="B577" s="3"/>
      <c r="C577" s="2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ht="15.75" customHeight="1">
      <c r="A578" s="3"/>
      <c r="B578" s="3"/>
      <c r="C578" s="2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ht="15.75" customHeight="1">
      <c r="A579" s="3"/>
      <c r="B579" s="3"/>
      <c r="C579" s="2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ht="15.75" customHeight="1">
      <c r="A580" s="3"/>
      <c r="B580" s="3"/>
      <c r="C580" s="2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ht="15.75" customHeight="1">
      <c r="A581" s="3"/>
      <c r="B581" s="3"/>
      <c r="C581" s="2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ht="15.75" customHeight="1">
      <c r="A582" s="3"/>
      <c r="B582" s="3"/>
      <c r="C582" s="2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ht="15.75" customHeight="1">
      <c r="A583" s="3"/>
      <c r="B583" s="3"/>
      <c r="C583" s="2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ht="15.75" customHeight="1">
      <c r="A584" s="3"/>
      <c r="B584" s="3"/>
      <c r="C584" s="2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ht="15.75" customHeight="1">
      <c r="A585" s="3"/>
      <c r="B585" s="3"/>
      <c r="C585" s="2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ht="15.75" customHeight="1">
      <c r="A586" s="3"/>
      <c r="B586" s="3"/>
      <c r="C586" s="2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ht="15.75" customHeight="1">
      <c r="A587" s="3"/>
      <c r="B587" s="3"/>
      <c r="C587" s="2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ht="15.75" customHeight="1">
      <c r="A588" s="3"/>
      <c r="B588" s="3"/>
      <c r="C588" s="2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ht="15.75" customHeight="1">
      <c r="A589" s="3"/>
      <c r="B589" s="3"/>
      <c r="C589" s="2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ht="15.75" customHeight="1">
      <c r="A590" s="3"/>
      <c r="B590" s="3"/>
      <c r="C590" s="2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ht="15.75" customHeight="1">
      <c r="A591" s="3"/>
      <c r="B591" s="3"/>
      <c r="C591" s="2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ht="15.75" customHeight="1">
      <c r="A592" s="3"/>
      <c r="B592" s="3"/>
      <c r="C592" s="2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ht="15.75" customHeight="1">
      <c r="A593" s="3"/>
      <c r="B593" s="3"/>
      <c r="C593" s="2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ht="15.75" customHeight="1">
      <c r="A594" s="3"/>
      <c r="B594" s="3"/>
      <c r="C594" s="2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ht="15.75" customHeight="1">
      <c r="A595" s="3"/>
      <c r="B595" s="3"/>
      <c r="C595" s="2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ht="15.75" customHeight="1">
      <c r="A596" s="3"/>
      <c r="B596" s="3"/>
      <c r="C596" s="2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ht="15.75" customHeight="1">
      <c r="A597" s="3"/>
      <c r="B597" s="3"/>
      <c r="C597" s="2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ht="15.75" customHeight="1">
      <c r="A598" s="3"/>
      <c r="B598" s="3"/>
      <c r="C598" s="2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ht="15.75" customHeight="1">
      <c r="A599" s="3"/>
      <c r="B599" s="3"/>
      <c r="C599" s="2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ht="15.75" customHeight="1">
      <c r="A600" s="3"/>
      <c r="B600" s="3"/>
      <c r="C600" s="2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ht="15.75" customHeight="1">
      <c r="A601" s="3"/>
      <c r="B601" s="3"/>
      <c r="C601" s="2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ht="15.75" customHeight="1">
      <c r="A602" s="3"/>
      <c r="B602" s="3"/>
      <c r="C602" s="2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ht="15.75" customHeight="1">
      <c r="A603" s="3"/>
      <c r="B603" s="3"/>
      <c r="C603" s="2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ht="15.75" customHeight="1">
      <c r="A604" s="3"/>
      <c r="B604" s="3"/>
      <c r="C604" s="2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ht="15.75" customHeight="1">
      <c r="A605" s="3"/>
      <c r="B605" s="3"/>
      <c r="C605" s="2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ht="15.75" customHeight="1">
      <c r="A606" s="3"/>
      <c r="B606" s="3"/>
      <c r="C606" s="2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ht="15.75" customHeight="1">
      <c r="A607" s="3"/>
      <c r="B607" s="3"/>
      <c r="C607" s="2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ht="15.75" customHeight="1">
      <c r="A608" s="3"/>
      <c r="B608" s="3"/>
      <c r="C608" s="2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ht="15.75" customHeight="1">
      <c r="A609" s="3"/>
      <c r="B609" s="3"/>
      <c r="C609" s="2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ht="15.75" customHeight="1">
      <c r="A610" s="3"/>
      <c r="B610" s="3"/>
      <c r="C610" s="2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ht="15.75" customHeight="1">
      <c r="A611" s="3"/>
      <c r="B611" s="3"/>
      <c r="C611" s="2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ht="15.75" customHeight="1">
      <c r="A612" s="3"/>
      <c r="B612" s="3"/>
      <c r="C612" s="2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ht="15.75" customHeight="1">
      <c r="A613" s="3"/>
      <c r="B613" s="3"/>
      <c r="C613" s="2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ht="15.75" customHeight="1">
      <c r="A614" s="3"/>
      <c r="B614" s="3"/>
      <c r="C614" s="2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ht="15.75" customHeight="1">
      <c r="A615" s="3"/>
      <c r="B615" s="3"/>
      <c r="C615" s="2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ht="15.75" customHeight="1">
      <c r="A616" s="3"/>
      <c r="B616" s="3"/>
      <c r="C616" s="2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ht="15.75" customHeight="1">
      <c r="A617" s="3"/>
      <c r="B617" s="3"/>
      <c r="C617" s="2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ht="15.75" customHeight="1">
      <c r="A618" s="3"/>
      <c r="B618" s="3"/>
      <c r="C618" s="2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ht="15.75" customHeight="1">
      <c r="A619" s="3"/>
      <c r="B619" s="3"/>
      <c r="C619" s="2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ht="15.75" customHeight="1">
      <c r="A620" s="3"/>
      <c r="B620" s="3"/>
      <c r="C620" s="2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ht="15.75" customHeight="1">
      <c r="A621" s="3"/>
      <c r="B621" s="3"/>
      <c r="C621" s="2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ht="15.75" customHeight="1">
      <c r="A622" s="3"/>
      <c r="B622" s="3"/>
      <c r="C622" s="2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ht="15.75" customHeight="1">
      <c r="A623" s="3"/>
      <c r="B623" s="3"/>
      <c r="C623" s="2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ht="15.75" customHeight="1">
      <c r="A624" s="3"/>
      <c r="B624" s="3"/>
      <c r="C624" s="2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ht="15.75" customHeight="1">
      <c r="A625" s="3"/>
      <c r="B625" s="3"/>
      <c r="C625" s="2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ht="15.75" customHeight="1">
      <c r="A626" s="3"/>
      <c r="B626" s="3"/>
      <c r="C626" s="2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ht="15.75" customHeight="1">
      <c r="A627" s="3"/>
      <c r="B627" s="3"/>
      <c r="C627" s="2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ht="15.75" customHeight="1">
      <c r="A628" s="3"/>
      <c r="B628" s="3"/>
      <c r="C628" s="2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ht="15.75" customHeight="1">
      <c r="A629" s="3"/>
      <c r="B629" s="3"/>
      <c r="C629" s="2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ht="15.75" customHeight="1">
      <c r="A630" s="3"/>
      <c r="B630" s="3"/>
      <c r="C630" s="2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ht="15.75" customHeight="1">
      <c r="A631" s="3"/>
      <c r="B631" s="3"/>
      <c r="C631" s="2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ht="15.75" customHeight="1">
      <c r="A632" s="3"/>
      <c r="B632" s="3"/>
      <c r="C632" s="2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ht="15.75" customHeight="1">
      <c r="A633" s="3"/>
      <c r="B633" s="3"/>
      <c r="C633" s="2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ht="15.75" customHeight="1">
      <c r="A634" s="3"/>
      <c r="B634" s="3"/>
      <c r="C634" s="2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ht="15.75" customHeight="1">
      <c r="A635" s="3"/>
      <c r="B635" s="3"/>
      <c r="C635" s="2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ht="15.75" customHeight="1">
      <c r="A636" s="3"/>
      <c r="B636" s="3"/>
      <c r="C636" s="2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ht="15.75" customHeight="1">
      <c r="A637" s="3"/>
      <c r="B637" s="3"/>
      <c r="C637" s="2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ht="15.75" customHeight="1">
      <c r="A638" s="3"/>
      <c r="B638" s="3"/>
      <c r="C638" s="2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ht="15.75" customHeight="1">
      <c r="A639" s="3"/>
      <c r="B639" s="3"/>
      <c r="C639" s="2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ht="15.75" customHeight="1">
      <c r="A640" s="3"/>
      <c r="B640" s="3"/>
      <c r="C640" s="2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ht="15.75" customHeight="1">
      <c r="A641" s="3"/>
      <c r="B641" s="3"/>
      <c r="C641" s="2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ht="15.75" customHeight="1">
      <c r="A642" s="3"/>
      <c r="B642" s="3"/>
      <c r="C642" s="2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ht="15.75" customHeight="1">
      <c r="A643" s="3"/>
      <c r="B643" s="3"/>
      <c r="C643" s="2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ht="15.75" customHeight="1">
      <c r="A644" s="3"/>
      <c r="B644" s="3"/>
      <c r="C644" s="2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ht="15.75" customHeight="1">
      <c r="A645" s="3"/>
      <c r="B645" s="3"/>
      <c r="C645" s="2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ht="15.75" customHeight="1">
      <c r="A646" s="3"/>
      <c r="B646" s="3"/>
      <c r="C646" s="2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ht="15.75" customHeight="1">
      <c r="A647" s="3"/>
      <c r="B647" s="3"/>
      <c r="C647" s="2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ht="15.75" customHeight="1">
      <c r="A648" s="3"/>
      <c r="B648" s="3"/>
      <c r="C648" s="2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ht="15.75" customHeight="1">
      <c r="A649" s="3"/>
      <c r="B649" s="3"/>
      <c r="C649" s="2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ht="15.75" customHeight="1">
      <c r="A650" s="3"/>
      <c r="B650" s="3"/>
      <c r="C650" s="2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ht="15.75" customHeight="1">
      <c r="A651" s="3"/>
      <c r="B651" s="3"/>
      <c r="C651" s="2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ht="15.75" customHeight="1">
      <c r="A652" s="3"/>
      <c r="B652" s="3"/>
      <c r="C652" s="2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ht="15.75" customHeight="1">
      <c r="A653" s="3"/>
      <c r="B653" s="3"/>
      <c r="C653" s="2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ht="15.75" customHeight="1">
      <c r="A654" s="3"/>
      <c r="B654" s="3"/>
      <c r="C654" s="2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ht="15.75" customHeight="1">
      <c r="A655" s="3"/>
      <c r="B655" s="3"/>
      <c r="C655" s="2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ht="15.75" customHeight="1">
      <c r="A656" s="3"/>
      <c r="B656" s="3"/>
      <c r="C656" s="2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ht="15.75" customHeight="1">
      <c r="A657" s="3"/>
      <c r="B657" s="3"/>
      <c r="C657" s="2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ht="15.75" customHeight="1">
      <c r="A658" s="3"/>
      <c r="B658" s="3"/>
      <c r="C658" s="2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ht="15.75" customHeight="1">
      <c r="A659" s="3"/>
      <c r="B659" s="3"/>
      <c r="C659" s="2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ht="15.75" customHeight="1">
      <c r="A660" s="3"/>
      <c r="B660" s="3"/>
      <c r="C660" s="2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ht="15.75" customHeight="1">
      <c r="A661" s="3"/>
      <c r="B661" s="3"/>
      <c r="C661" s="2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ht="15.75" customHeight="1">
      <c r="A662" s="3"/>
      <c r="B662" s="3"/>
      <c r="C662" s="2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ht="15.75" customHeight="1">
      <c r="A663" s="3"/>
      <c r="B663" s="3"/>
      <c r="C663" s="2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ht="15.75" customHeight="1">
      <c r="A664" s="3"/>
      <c r="B664" s="3"/>
      <c r="C664" s="2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ht="15.75" customHeight="1">
      <c r="A665" s="3"/>
      <c r="B665" s="3"/>
      <c r="C665" s="2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ht="15.75" customHeight="1">
      <c r="A666" s="3"/>
      <c r="B666" s="3"/>
      <c r="C666" s="2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ht="15.75" customHeight="1">
      <c r="A667" s="3"/>
      <c r="B667" s="3"/>
      <c r="C667" s="2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ht="15.75" customHeight="1">
      <c r="A668" s="3"/>
      <c r="B668" s="3"/>
      <c r="C668" s="2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ht="15.75" customHeight="1">
      <c r="A669" s="3"/>
      <c r="B669" s="3"/>
      <c r="C669" s="2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ht="15.75" customHeight="1">
      <c r="A670" s="3"/>
      <c r="B670" s="3"/>
      <c r="C670" s="2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ht="15.75" customHeight="1">
      <c r="A671" s="3"/>
      <c r="B671" s="3"/>
      <c r="C671" s="2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ht="15.75" customHeight="1">
      <c r="A672" s="3"/>
      <c r="B672" s="3"/>
      <c r="C672" s="2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ht="15.75" customHeight="1">
      <c r="A673" s="3"/>
      <c r="B673" s="3"/>
      <c r="C673" s="2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ht="15.75" customHeight="1">
      <c r="A674" s="3"/>
      <c r="B674" s="3"/>
      <c r="C674" s="2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ht="15.75" customHeight="1">
      <c r="A675" s="3"/>
      <c r="B675" s="3"/>
      <c r="C675" s="2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ht="15.75" customHeight="1">
      <c r="A676" s="3"/>
      <c r="B676" s="3"/>
      <c r="C676" s="2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ht="15.75" customHeight="1">
      <c r="A677" s="3"/>
      <c r="B677" s="3"/>
      <c r="C677" s="2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ht="15.75" customHeight="1">
      <c r="A678" s="3"/>
      <c r="B678" s="3"/>
      <c r="C678" s="2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ht="15.75" customHeight="1">
      <c r="A679" s="3"/>
      <c r="B679" s="3"/>
      <c r="C679" s="2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ht="15.75" customHeight="1">
      <c r="A680" s="3"/>
      <c r="B680" s="3"/>
      <c r="C680" s="2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ht="15.75" customHeight="1">
      <c r="A681" s="3"/>
      <c r="B681" s="3"/>
      <c r="C681" s="2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ht="15.75" customHeight="1">
      <c r="A682" s="3"/>
      <c r="B682" s="3"/>
      <c r="C682" s="2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ht="15.75" customHeight="1">
      <c r="A683" s="3"/>
      <c r="B683" s="3"/>
      <c r="C683" s="2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ht="15.75" customHeight="1">
      <c r="A684" s="3"/>
      <c r="B684" s="3"/>
      <c r="C684" s="2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ht="15.75" customHeight="1">
      <c r="A685" s="3"/>
      <c r="B685" s="3"/>
      <c r="C685" s="2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ht="15.75" customHeight="1">
      <c r="A686" s="3"/>
      <c r="B686" s="3"/>
      <c r="C686" s="2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ht="15.75" customHeight="1">
      <c r="A687" s="3"/>
      <c r="B687" s="3"/>
      <c r="C687" s="2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ht="15.75" customHeight="1">
      <c r="A688" s="3"/>
      <c r="B688" s="3"/>
      <c r="C688" s="2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ht="15.75" customHeight="1">
      <c r="A689" s="3"/>
      <c r="B689" s="3"/>
      <c r="C689" s="2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ht="15.75" customHeight="1">
      <c r="A690" s="3"/>
      <c r="B690" s="3"/>
      <c r="C690" s="2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ht="15.75" customHeight="1">
      <c r="A691" s="3"/>
      <c r="B691" s="3"/>
      <c r="C691" s="2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ht="15.75" customHeight="1">
      <c r="A692" s="3"/>
      <c r="B692" s="3"/>
      <c r="C692" s="2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ht="15.75" customHeight="1">
      <c r="A693" s="3"/>
      <c r="B693" s="3"/>
      <c r="C693" s="2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ht="15.75" customHeight="1">
      <c r="A694" s="3"/>
      <c r="B694" s="3"/>
      <c r="C694" s="2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ht="15.75" customHeight="1">
      <c r="A695" s="3"/>
      <c r="B695" s="3"/>
      <c r="C695" s="2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ht="15.75" customHeight="1">
      <c r="A696" s="3"/>
      <c r="B696" s="3"/>
      <c r="C696" s="2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ht="15.75" customHeight="1">
      <c r="A697" s="3"/>
      <c r="B697" s="3"/>
      <c r="C697" s="2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ht="15.75" customHeight="1">
      <c r="A698" s="3"/>
      <c r="B698" s="3"/>
      <c r="C698" s="2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ht="15.75" customHeight="1">
      <c r="A699" s="3"/>
      <c r="B699" s="3"/>
      <c r="C699" s="2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ht="15.75" customHeight="1">
      <c r="A700" s="3"/>
      <c r="B700" s="3"/>
      <c r="C700" s="2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ht="15.75" customHeight="1">
      <c r="A701" s="3"/>
      <c r="B701" s="3"/>
      <c r="C701" s="2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ht="15.75" customHeight="1">
      <c r="A702" s="3"/>
      <c r="B702" s="3"/>
      <c r="C702" s="2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ht="15.75" customHeight="1">
      <c r="A703" s="3"/>
      <c r="B703" s="3"/>
      <c r="C703" s="2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ht="15.75" customHeight="1">
      <c r="A704" s="3"/>
      <c r="B704" s="3"/>
      <c r="C704" s="2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ht="15.75" customHeight="1">
      <c r="A705" s="3"/>
      <c r="B705" s="3"/>
      <c r="C705" s="2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ht="15.75" customHeight="1">
      <c r="A706" s="3"/>
      <c r="B706" s="3"/>
      <c r="C706" s="2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ht="15.75" customHeight="1">
      <c r="A707" s="3"/>
      <c r="B707" s="3"/>
      <c r="C707" s="2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ht="15.75" customHeight="1">
      <c r="A708" s="3"/>
      <c r="B708" s="3"/>
      <c r="C708" s="2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ht="15.75" customHeight="1">
      <c r="A709" s="3"/>
      <c r="B709" s="3"/>
      <c r="C709" s="2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ht="15.75" customHeight="1">
      <c r="A710" s="3"/>
      <c r="B710" s="3"/>
      <c r="C710" s="2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ht="15.75" customHeight="1">
      <c r="A711" s="3"/>
      <c r="B711" s="3"/>
      <c r="C711" s="2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ht="15.75" customHeight="1">
      <c r="A712" s="3"/>
      <c r="B712" s="3"/>
      <c r="C712" s="2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ht="15.75" customHeight="1">
      <c r="A713" s="3"/>
      <c r="B713" s="3"/>
      <c r="C713" s="2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ht="15.75" customHeight="1">
      <c r="A714" s="3"/>
      <c r="B714" s="3"/>
      <c r="C714" s="2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ht="15.75" customHeight="1">
      <c r="A715" s="3"/>
      <c r="B715" s="3"/>
      <c r="C715" s="2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ht="15.75" customHeight="1">
      <c r="A716" s="3"/>
      <c r="B716" s="3"/>
      <c r="C716" s="2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ht="15.75" customHeight="1">
      <c r="A717" s="3"/>
      <c r="B717" s="3"/>
      <c r="C717" s="2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ht="15.75" customHeight="1">
      <c r="A718" s="3"/>
      <c r="B718" s="3"/>
      <c r="C718" s="2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ht="15.75" customHeight="1">
      <c r="A719" s="3"/>
      <c r="B719" s="3"/>
      <c r="C719" s="2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ht="15.75" customHeight="1">
      <c r="A720" s="3"/>
      <c r="B720" s="3"/>
      <c r="C720" s="2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ht="15.75" customHeight="1">
      <c r="A721" s="3"/>
      <c r="B721" s="3"/>
      <c r="C721" s="2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ht="15.75" customHeight="1">
      <c r="A722" s="3"/>
      <c r="B722" s="3"/>
      <c r="C722" s="2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ht="15.75" customHeight="1">
      <c r="A723" s="3"/>
      <c r="B723" s="3"/>
      <c r="C723" s="2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ht="15.75" customHeight="1">
      <c r="A724" s="3"/>
      <c r="B724" s="3"/>
      <c r="C724" s="2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ht="15.75" customHeight="1">
      <c r="A725" s="3"/>
      <c r="B725" s="3"/>
      <c r="C725" s="2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ht="15.75" customHeight="1">
      <c r="A726" s="3"/>
      <c r="B726" s="3"/>
      <c r="C726" s="2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ht="15.75" customHeight="1">
      <c r="A727" s="3"/>
      <c r="B727" s="3"/>
      <c r="C727" s="2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ht="15.75" customHeight="1">
      <c r="A728" s="3"/>
      <c r="B728" s="3"/>
      <c r="C728" s="2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ht="15.75" customHeight="1">
      <c r="A729" s="3"/>
      <c r="B729" s="3"/>
      <c r="C729" s="2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ht="15.75" customHeight="1">
      <c r="A730" s="3"/>
      <c r="B730" s="3"/>
      <c r="C730" s="2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ht="15.75" customHeight="1">
      <c r="A731" s="3"/>
      <c r="B731" s="3"/>
      <c r="C731" s="2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ht="15.75" customHeight="1">
      <c r="A732" s="3"/>
      <c r="B732" s="3"/>
      <c r="C732" s="2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ht="15.75" customHeight="1">
      <c r="A733" s="3"/>
      <c r="B733" s="3"/>
      <c r="C733" s="2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ht="15.75" customHeight="1">
      <c r="A734" s="3"/>
      <c r="B734" s="3"/>
      <c r="C734" s="2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ht="15.75" customHeight="1">
      <c r="A735" s="3"/>
      <c r="B735" s="3"/>
      <c r="C735" s="2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ht="15.75" customHeight="1">
      <c r="A736" s="3"/>
      <c r="B736" s="3"/>
      <c r="C736" s="2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ht="15.75" customHeight="1">
      <c r="A737" s="3"/>
      <c r="B737" s="3"/>
      <c r="C737" s="2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ht="15.75" customHeight="1">
      <c r="A738" s="3"/>
      <c r="B738" s="3"/>
      <c r="C738" s="2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ht="15.75" customHeight="1">
      <c r="A739" s="3"/>
      <c r="B739" s="3"/>
      <c r="C739" s="2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ht="15.75" customHeight="1">
      <c r="A740" s="3"/>
      <c r="B740" s="3"/>
      <c r="C740" s="2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ht="15.75" customHeight="1">
      <c r="A741" s="3"/>
      <c r="B741" s="3"/>
      <c r="C741" s="2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ht="15.75" customHeight="1">
      <c r="A742" s="3"/>
      <c r="B742" s="3"/>
      <c r="C742" s="2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ht="15.75" customHeight="1">
      <c r="A743" s="3"/>
      <c r="B743" s="3"/>
      <c r="C743" s="2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ht="15.75" customHeight="1">
      <c r="A744" s="3"/>
      <c r="B744" s="3"/>
      <c r="C744" s="2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ht="15.75" customHeight="1">
      <c r="A745" s="3"/>
      <c r="B745" s="3"/>
      <c r="C745" s="2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ht="15.75" customHeight="1">
      <c r="A746" s="3"/>
      <c r="B746" s="3"/>
      <c r="C746" s="2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ht="15.75" customHeight="1">
      <c r="A747" s="3"/>
      <c r="B747" s="3"/>
      <c r="C747" s="2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ht="15.75" customHeight="1">
      <c r="A748" s="3"/>
      <c r="B748" s="3"/>
      <c r="C748" s="2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ht="15.75" customHeight="1">
      <c r="A749" s="3"/>
      <c r="B749" s="3"/>
      <c r="C749" s="2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ht="15.75" customHeight="1">
      <c r="A750" s="3"/>
      <c r="B750" s="3"/>
      <c r="C750" s="2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ht="15.75" customHeight="1">
      <c r="A751" s="3"/>
      <c r="B751" s="3"/>
      <c r="C751" s="2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ht="15.75" customHeight="1">
      <c r="A752" s="3"/>
      <c r="B752" s="3"/>
      <c r="C752" s="2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ht="15.75" customHeight="1">
      <c r="A753" s="3"/>
      <c r="B753" s="3"/>
      <c r="C753" s="2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ht="15.75" customHeight="1">
      <c r="A754" s="3"/>
      <c r="B754" s="3"/>
      <c r="C754" s="2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ht="15.75" customHeight="1">
      <c r="A755" s="3"/>
      <c r="B755" s="3"/>
      <c r="C755" s="2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ht="15.75" customHeight="1">
      <c r="A756" s="3"/>
      <c r="B756" s="3"/>
      <c r="C756" s="2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ht="15.75" customHeight="1">
      <c r="A757" s="3"/>
      <c r="B757" s="3"/>
      <c r="C757" s="2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ht="15.75" customHeight="1">
      <c r="A758" s="3"/>
      <c r="B758" s="3"/>
      <c r="C758" s="2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ht="15.75" customHeight="1">
      <c r="A759" s="3"/>
      <c r="B759" s="3"/>
      <c r="C759" s="2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ht="15.75" customHeight="1">
      <c r="A760" s="3"/>
      <c r="B760" s="3"/>
      <c r="C760" s="2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ht="15.75" customHeight="1">
      <c r="A761" s="3"/>
      <c r="B761" s="3"/>
      <c r="C761" s="2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ht="15.75" customHeight="1">
      <c r="A762" s="3"/>
      <c r="B762" s="3"/>
      <c r="C762" s="2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ht="15.75" customHeight="1">
      <c r="A763" s="3"/>
      <c r="B763" s="3"/>
      <c r="C763" s="2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ht="15.75" customHeight="1">
      <c r="A764" s="3"/>
      <c r="B764" s="3"/>
      <c r="C764" s="2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ht="15.75" customHeight="1">
      <c r="A765" s="3"/>
      <c r="B765" s="3"/>
      <c r="C765" s="2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ht="15.75" customHeight="1">
      <c r="A766" s="3"/>
      <c r="B766" s="3"/>
      <c r="C766" s="2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ht="15.75" customHeight="1">
      <c r="A767" s="3"/>
      <c r="B767" s="3"/>
      <c r="C767" s="2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ht="15.75" customHeight="1">
      <c r="A768" s="3"/>
      <c r="B768" s="3"/>
      <c r="C768" s="2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ht="15.75" customHeight="1">
      <c r="A769" s="3"/>
      <c r="B769" s="3"/>
      <c r="C769" s="2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ht="15.75" customHeight="1">
      <c r="A770" s="3"/>
      <c r="B770" s="3"/>
      <c r="C770" s="2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ht="15.75" customHeight="1">
      <c r="A771" s="3"/>
      <c r="B771" s="3"/>
      <c r="C771" s="2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ht="15.75" customHeight="1">
      <c r="A772" s="3"/>
      <c r="B772" s="3"/>
      <c r="C772" s="2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ht="15.75" customHeight="1">
      <c r="A773" s="3"/>
      <c r="B773" s="3"/>
      <c r="C773" s="2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ht="15.75" customHeight="1">
      <c r="A774" s="3"/>
      <c r="B774" s="3"/>
      <c r="C774" s="2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ht="15.75" customHeight="1">
      <c r="A775" s="3"/>
      <c r="B775" s="3"/>
      <c r="C775" s="2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ht="15.75" customHeight="1">
      <c r="A776" s="3"/>
      <c r="B776" s="3"/>
      <c r="C776" s="2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ht="15.75" customHeight="1">
      <c r="A777" s="3"/>
      <c r="B777" s="3"/>
      <c r="C777" s="2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ht="15.75" customHeight="1">
      <c r="A778" s="3"/>
      <c r="B778" s="3"/>
      <c r="C778" s="2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ht="15.75" customHeight="1">
      <c r="A779" s="3"/>
      <c r="B779" s="3"/>
      <c r="C779" s="2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ht="15.75" customHeight="1">
      <c r="A780" s="3"/>
      <c r="B780" s="3"/>
      <c r="C780" s="2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ht="15.75" customHeight="1">
      <c r="A781" s="3"/>
      <c r="B781" s="3"/>
      <c r="C781" s="2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ht="15.75" customHeight="1">
      <c r="A782" s="3"/>
      <c r="B782" s="3"/>
      <c r="C782" s="2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ht="15.75" customHeight="1">
      <c r="A783" s="3"/>
      <c r="B783" s="3"/>
      <c r="C783" s="2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ht="15.75" customHeight="1">
      <c r="A784" s="3"/>
      <c r="B784" s="3"/>
      <c r="C784" s="2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ht="15.75" customHeight="1">
      <c r="A785" s="3"/>
      <c r="B785" s="3"/>
      <c r="C785" s="2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ht="15.75" customHeight="1">
      <c r="A786" s="3"/>
      <c r="B786" s="3"/>
      <c r="C786" s="2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ht="15.75" customHeight="1">
      <c r="A787" s="3"/>
      <c r="B787" s="3"/>
      <c r="C787" s="2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ht="15.75" customHeight="1">
      <c r="A788" s="3"/>
      <c r="B788" s="3"/>
      <c r="C788" s="2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ht="15.75" customHeight="1">
      <c r="A789" s="3"/>
      <c r="B789" s="3"/>
      <c r="C789" s="2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ht="15.75" customHeight="1">
      <c r="A790" s="3"/>
      <c r="B790" s="3"/>
      <c r="C790" s="2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ht="15.75" customHeight="1">
      <c r="A791" s="3"/>
      <c r="B791" s="3"/>
      <c r="C791" s="2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ht="15.75" customHeight="1">
      <c r="A792" s="3"/>
      <c r="B792" s="3"/>
      <c r="C792" s="2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ht="15.75" customHeight="1">
      <c r="A793" s="3"/>
      <c r="B793" s="3"/>
      <c r="C793" s="2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ht="15.75" customHeight="1">
      <c r="A794" s="3"/>
      <c r="B794" s="3"/>
      <c r="C794" s="2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ht="15.75" customHeight="1">
      <c r="A795" s="3"/>
      <c r="B795" s="3"/>
      <c r="C795" s="2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ht="15.75" customHeight="1">
      <c r="A796" s="3"/>
      <c r="B796" s="3"/>
      <c r="C796" s="2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ht="15.75" customHeight="1">
      <c r="A797" s="3"/>
      <c r="B797" s="3"/>
      <c r="C797" s="2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ht="15.75" customHeight="1">
      <c r="A798" s="3"/>
      <c r="B798" s="3"/>
      <c r="C798" s="2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ht="15.75" customHeight="1">
      <c r="A799" s="3"/>
      <c r="B799" s="3"/>
      <c r="C799" s="2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ht="15.75" customHeight="1">
      <c r="A800" s="3"/>
      <c r="B800" s="3"/>
      <c r="C800" s="2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ht="15.75" customHeight="1">
      <c r="A801" s="3"/>
      <c r="B801" s="3"/>
      <c r="C801" s="2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ht="15.75" customHeight="1">
      <c r="A802" s="3"/>
      <c r="B802" s="3"/>
      <c r="C802" s="2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ht="15.75" customHeight="1">
      <c r="A803" s="3"/>
      <c r="B803" s="3"/>
      <c r="C803" s="2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ht="15.75" customHeight="1">
      <c r="A804" s="3"/>
      <c r="B804" s="3"/>
      <c r="C804" s="2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ht="15.75" customHeight="1">
      <c r="A805" s="3"/>
      <c r="B805" s="3"/>
      <c r="C805" s="2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ht="15.75" customHeight="1">
      <c r="A806" s="3"/>
      <c r="B806" s="3"/>
      <c r="C806" s="2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ht="15.75" customHeight="1">
      <c r="A807" s="3"/>
      <c r="B807" s="3"/>
      <c r="C807" s="2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ht="15.75" customHeight="1">
      <c r="A808" s="3"/>
      <c r="B808" s="3"/>
      <c r="C808" s="2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ht="15.75" customHeight="1">
      <c r="A809" s="3"/>
      <c r="B809" s="3"/>
      <c r="C809" s="2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ht="15.75" customHeight="1">
      <c r="A810" s="3"/>
      <c r="B810" s="3"/>
      <c r="C810" s="2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ht="15.75" customHeight="1">
      <c r="A811" s="3"/>
      <c r="B811" s="3"/>
      <c r="C811" s="2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ht="15.75" customHeight="1">
      <c r="A812" s="3"/>
      <c r="B812" s="3"/>
      <c r="C812" s="2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ht="15.75" customHeight="1">
      <c r="A813" s="3"/>
      <c r="B813" s="3"/>
      <c r="C813" s="2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ht="15.75" customHeight="1">
      <c r="A814" s="3"/>
      <c r="B814" s="3"/>
      <c r="C814" s="2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ht="15.75" customHeight="1">
      <c r="A815" s="3"/>
      <c r="B815" s="3"/>
      <c r="C815" s="2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ht="15.75" customHeight="1">
      <c r="A816" s="3"/>
      <c r="B816" s="3"/>
      <c r="C816" s="2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ht="15.75" customHeight="1">
      <c r="A817" s="3"/>
      <c r="B817" s="3"/>
      <c r="C817" s="2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ht="15.75" customHeight="1">
      <c r="A818" s="3"/>
      <c r="B818" s="3"/>
      <c r="C818" s="2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ht="15.75" customHeight="1">
      <c r="A819" s="3"/>
      <c r="B819" s="3"/>
      <c r="C819" s="2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ht="15.75" customHeight="1">
      <c r="A820" s="3"/>
      <c r="B820" s="3"/>
      <c r="C820" s="2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ht="15.75" customHeight="1">
      <c r="A821" s="3"/>
      <c r="B821" s="3"/>
      <c r="C821" s="2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ht="15.75" customHeight="1">
      <c r="A822" s="3"/>
      <c r="B822" s="3"/>
      <c r="C822" s="2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ht="15.75" customHeight="1">
      <c r="A823" s="3"/>
      <c r="B823" s="3"/>
      <c r="C823" s="2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ht="15.75" customHeight="1">
      <c r="A824" s="3"/>
      <c r="B824" s="3"/>
      <c r="C824" s="2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ht="15.75" customHeight="1">
      <c r="A825" s="3"/>
      <c r="B825" s="3"/>
      <c r="C825" s="2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ht="15.75" customHeight="1">
      <c r="A826" s="3"/>
      <c r="B826" s="3"/>
      <c r="C826" s="2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ht="15.75" customHeight="1">
      <c r="A827" s="3"/>
      <c r="B827" s="3"/>
      <c r="C827" s="2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ht="15.75" customHeight="1">
      <c r="A828" s="3"/>
      <c r="B828" s="3"/>
      <c r="C828" s="2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ht="15.75" customHeight="1">
      <c r="A829" s="3"/>
      <c r="B829" s="3"/>
      <c r="C829" s="2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ht="15.75" customHeight="1">
      <c r="A830" s="3"/>
      <c r="B830" s="3"/>
      <c r="C830" s="2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ht="15.75" customHeight="1">
      <c r="A831" s="3"/>
      <c r="B831" s="3"/>
      <c r="C831" s="2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ht="15.75" customHeight="1">
      <c r="A832" s="3"/>
      <c r="B832" s="3"/>
      <c r="C832" s="2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ht="15.75" customHeight="1">
      <c r="A833" s="3"/>
      <c r="B833" s="3"/>
      <c r="C833" s="2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ht="15.75" customHeight="1">
      <c r="A834" s="3"/>
      <c r="B834" s="3"/>
      <c r="C834" s="2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ht="15.75" customHeight="1">
      <c r="A835" s="3"/>
      <c r="B835" s="3"/>
      <c r="C835" s="2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ht="15.75" customHeight="1">
      <c r="A836" s="3"/>
      <c r="B836" s="3"/>
      <c r="C836" s="2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ht="15.75" customHeight="1">
      <c r="A837" s="3"/>
      <c r="B837" s="3"/>
      <c r="C837" s="2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ht="15.75" customHeight="1">
      <c r="A838" s="3"/>
      <c r="B838" s="3"/>
      <c r="C838" s="2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ht="15.75" customHeight="1">
      <c r="A839" s="3"/>
      <c r="B839" s="3"/>
      <c r="C839" s="2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ht="15.75" customHeight="1">
      <c r="A840" s="3"/>
      <c r="B840" s="3"/>
      <c r="C840" s="2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ht="15.75" customHeight="1">
      <c r="A841" s="3"/>
      <c r="B841" s="3"/>
      <c r="C841" s="2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ht="15.75" customHeight="1">
      <c r="A842" s="3"/>
      <c r="B842" s="3"/>
      <c r="C842" s="2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ht="15.75" customHeight="1">
      <c r="A843" s="3"/>
      <c r="B843" s="3"/>
      <c r="C843" s="2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ht="15.75" customHeight="1">
      <c r="A844" s="3"/>
      <c r="B844" s="3"/>
      <c r="C844" s="2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ht="15.75" customHeight="1">
      <c r="A845" s="3"/>
      <c r="B845" s="3"/>
      <c r="C845" s="2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ht="15.75" customHeight="1">
      <c r="A846" s="3"/>
      <c r="B846" s="3"/>
      <c r="C846" s="2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ht="15.75" customHeight="1">
      <c r="A847" s="3"/>
      <c r="B847" s="3"/>
      <c r="C847" s="2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ht="15.75" customHeight="1">
      <c r="A848" s="3"/>
      <c r="B848" s="3"/>
      <c r="C848" s="2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ht="15.75" customHeight="1">
      <c r="A849" s="3"/>
      <c r="B849" s="3"/>
      <c r="C849" s="2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ht="15.75" customHeight="1">
      <c r="A850" s="3"/>
      <c r="B850" s="3"/>
      <c r="C850" s="2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ht="15.75" customHeight="1">
      <c r="A851" s="3"/>
      <c r="B851" s="3"/>
      <c r="C851" s="2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ht="15.75" customHeight="1">
      <c r="A852" s="3"/>
      <c r="B852" s="3"/>
      <c r="C852" s="2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ht="15.75" customHeight="1">
      <c r="A853" s="3"/>
      <c r="B853" s="3"/>
      <c r="C853" s="2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ht="15.75" customHeight="1">
      <c r="A854" s="3"/>
      <c r="B854" s="3"/>
      <c r="C854" s="2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ht="15.75" customHeight="1">
      <c r="A855" s="3"/>
      <c r="B855" s="3"/>
      <c r="C855" s="2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ht="15.75" customHeight="1">
      <c r="A856" s="3"/>
      <c r="B856" s="3"/>
      <c r="C856" s="2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ht="15.75" customHeight="1">
      <c r="A857" s="3"/>
      <c r="B857" s="3"/>
      <c r="C857" s="2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ht="15.75" customHeight="1">
      <c r="A858" s="3"/>
      <c r="B858" s="3"/>
      <c r="C858" s="2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ht="15.75" customHeight="1">
      <c r="A859" s="3"/>
      <c r="B859" s="3"/>
      <c r="C859" s="2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ht="15.75" customHeight="1">
      <c r="A860" s="3"/>
      <c r="B860" s="3"/>
      <c r="C860" s="2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ht="15.75" customHeight="1">
      <c r="A861" s="3"/>
      <c r="B861" s="3"/>
      <c r="C861" s="2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ht="15.75" customHeight="1">
      <c r="A862" s="3"/>
      <c r="B862" s="3"/>
      <c r="C862" s="2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ht="15.75" customHeight="1">
      <c r="A863" s="3"/>
      <c r="B863" s="3"/>
      <c r="C863" s="2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ht="15.75" customHeight="1">
      <c r="A864" s="3"/>
      <c r="B864" s="3"/>
      <c r="C864" s="2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ht="15.75" customHeight="1">
      <c r="A865" s="3"/>
      <c r="B865" s="3"/>
      <c r="C865" s="2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ht="15.75" customHeight="1">
      <c r="A866" s="3"/>
      <c r="B866" s="3"/>
      <c r="C866" s="2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ht="15.75" customHeight="1">
      <c r="A867" s="3"/>
      <c r="B867" s="3"/>
      <c r="C867" s="2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ht="15.75" customHeight="1">
      <c r="A868" s="3"/>
      <c r="B868" s="3"/>
      <c r="C868" s="2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ht="15.75" customHeight="1">
      <c r="A869" s="3"/>
      <c r="B869" s="3"/>
      <c r="C869" s="2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ht="15.75" customHeight="1">
      <c r="A870" s="3"/>
      <c r="B870" s="3"/>
      <c r="C870" s="2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ht="15.75" customHeight="1">
      <c r="A871" s="3"/>
      <c r="B871" s="3"/>
      <c r="C871" s="2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ht="15.75" customHeight="1">
      <c r="A872" s="3"/>
      <c r="B872" s="3"/>
      <c r="C872" s="2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ht="15.75" customHeight="1">
      <c r="A873" s="3"/>
      <c r="B873" s="3"/>
      <c r="C873" s="2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ht="15.75" customHeight="1">
      <c r="A874" s="3"/>
      <c r="B874" s="3"/>
      <c r="C874" s="2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ht="15.75" customHeight="1">
      <c r="A875" s="3"/>
      <c r="B875" s="3"/>
      <c r="C875" s="2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ht="15.75" customHeight="1">
      <c r="A876" s="3"/>
      <c r="B876" s="3"/>
      <c r="C876" s="2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ht="15.75" customHeight="1">
      <c r="A877" s="3"/>
      <c r="B877" s="3"/>
      <c r="C877" s="2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ht="15.75" customHeight="1">
      <c r="A878" s="3"/>
      <c r="B878" s="3"/>
      <c r="C878" s="2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ht="15.75" customHeight="1">
      <c r="A879" s="3"/>
      <c r="B879" s="3"/>
      <c r="C879" s="2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ht="15.75" customHeight="1">
      <c r="A880" s="3"/>
      <c r="B880" s="3"/>
      <c r="C880" s="2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ht="15.75" customHeight="1">
      <c r="A881" s="3"/>
      <c r="B881" s="3"/>
      <c r="C881" s="2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ht="15.75" customHeight="1">
      <c r="A882" s="3"/>
      <c r="B882" s="3"/>
      <c r="C882" s="2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ht="15.75" customHeight="1">
      <c r="A883" s="3"/>
      <c r="B883" s="3"/>
      <c r="C883" s="2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ht="15.75" customHeight="1">
      <c r="A884" s="3"/>
      <c r="B884" s="3"/>
      <c r="C884" s="2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ht="15.75" customHeight="1">
      <c r="A885" s="3"/>
      <c r="B885" s="3"/>
      <c r="C885" s="2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ht="15.75" customHeight="1">
      <c r="A886" s="3"/>
      <c r="B886" s="3"/>
      <c r="C886" s="2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ht="15.75" customHeight="1">
      <c r="A887" s="3"/>
      <c r="B887" s="3"/>
      <c r="C887" s="2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ht="15.75" customHeight="1">
      <c r="A888" s="3"/>
      <c r="B888" s="3"/>
      <c r="C888" s="2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ht="15.75" customHeight="1">
      <c r="A889" s="3"/>
      <c r="B889" s="3"/>
      <c r="C889" s="2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ht="15.75" customHeight="1">
      <c r="A890" s="3"/>
      <c r="B890" s="3"/>
      <c r="C890" s="2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ht="15.75" customHeight="1">
      <c r="A891" s="3"/>
      <c r="B891" s="3"/>
      <c r="C891" s="2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ht="15.75" customHeight="1">
      <c r="A892" s="3"/>
      <c r="B892" s="3"/>
      <c r="C892" s="2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ht="15.75" customHeight="1">
      <c r="A893" s="3"/>
      <c r="B893" s="3"/>
      <c r="C893" s="2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ht="15.75" customHeight="1">
      <c r="A894" s="3"/>
      <c r="B894" s="3"/>
      <c r="C894" s="2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ht="15.75" customHeight="1">
      <c r="A895" s="3"/>
      <c r="B895" s="3"/>
      <c r="C895" s="2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ht="15.75" customHeight="1">
      <c r="A896" s="3"/>
      <c r="B896" s="3"/>
      <c r="C896" s="2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ht="15.75" customHeight="1">
      <c r="A897" s="3"/>
      <c r="B897" s="3"/>
      <c r="C897" s="2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ht="15.75" customHeight="1">
      <c r="A898" s="3"/>
      <c r="B898" s="3"/>
      <c r="C898" s="2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ht="15.75" customHeight="1">
      <c r="A899" s="3"/>
      <c r="B899" s="3"/>
      <c r="C899" s="2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ht="15.75" customHeight="1">
      <c r="A900" s="3"/>
      <c r="B900" s="3"/>
      <c r="C900" s="2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ht="15.75" customHeight="1">
      <c r="A901" s="3"/>
      <c r="B901" s="3"/>
      <c r="C901" s="2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ht="15.75" customHeight="1">
      <c r="A902" s="3"/>
      <c r="B902" s="3"/>
      <c r="C902" s="2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ht="15.75" customHeight="1">
      <c r="A903" s="3"/>
      <c r="B903" s="3"/>
      <c r="C903" s="2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ht="15.75" customHeight="1">
      <c r="A904" s="3"/>
      <c r="B904" s="3"/>
      <c r="C904" s="2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ht="15.75" customHeight="1">
      <c r="A905" s="3"/>
      <c r="B905" s="3"/>
      <c r="C905" s="2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ht="15.75" customHeight="1">
      <c r="A906" s="3"/>
      <c r="B906" s="3"/>
      <c r="C906" s="2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ht="15.75" customHeight="1">
      <c r="A907" s="3"/>
      <c r="B907" s="3"/>
      <c r="C907" s="2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ht="15.75" customHeight="1">
      <c r="A908" s="3"/>
      <c r="B908" s="3"/>
      <c r="C908" s="2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ht="15.75" customHeight="1">
      <c r="A909" s="3"/>
      <c r="B909" s="3"/>
      <c r="C909" s="2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ht="15.75" customHeight="1">
      <c r="A910" s="3"/>
      <c r="B910" s="3"/>
      <c r="C910" s="2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ht="15.75" customHeight="1">
      <c r="A911" s="3"/>
      <c r="B911" s="3"/>
      <c r="C911" s="2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ht="15.75" customHeight="1">
      <c r="A912" s="3"/>
      <c r="B912" s="3"/>
      <c r="C912" s="2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ht="15.75" customHeight="1">
      <c r="A913" s="3"/>
      <c r="B913" s="3"/>
      <c r="C913" s="2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ht="15.75" customHeight="1">
      <c r="A914" s="3"/>
      <c r="B914" s="3"/>
      <c r="C914" s="2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ht="15.75" customHeight="1">
      <c r="A915" s="3"/>
      <c r="B915" s="3"/>
      <c r="C915" s="2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ht="15.75" customHeight="1">
      <c r="A916" s="3"/>
      <c r="B916" s="3"/>
      <c r="C916" s="2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ht="15.75" customHeight="1">
      <c r="A917" s="3"/>
      <c r="B917" s="3"/>
      <c r="C917" s="2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ht="15.75" customHeight="1">
      <c r="A918" s="3"/>
      <c r="B918" s="3"/>
      <c r="C918" s="2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ht="15.75" customHeight="1">
      <c r="A919" s="3"/>
      <c r="B919" s="3"/>
      <c r="C919" s="2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ht="15.75" customHeight="1">
      <c r="A920" s="3"/>
      <c r="B920" s="3"/>
      <c r="C920" s="2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ht="15.75" customHeight="1">
      <c r="A921" s="3"/>
      <c r="B921" s="3"/>
      <c r="C921" s="2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ht="15.75" customHeight="1">
      <c r="A922" s="3"/>
      <c r="B922" s="3"/>
      <c r="C922" s="2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ht="15.75" customHeight="1">
      <c r="A923" s="3"/>
      <c r="B923" s="3"/>
      <c r="C923" s="2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ht="15.75" customHeight="1">
      <c r="A924" s="3"/>
      <c r="B924" s="3"/>
      <c r="C924" s="2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ht="15.75" customHeight="1">
      <c r="A925" s="3"/>
      <c r="B925" s="3"/>
      <c r="C925" s="2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ht="15.75" customHeight="1">
      <c r="A926" s="3"/>
      <c r="B926" s="3"/>
      <c r="C926" s="2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ht="15.75" customHeight="1">
      <c r="A927" s="3"/>
      <c r="B927" s="3"/>
      <c r="C927" s="2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ht="15.75" customHeight="1">
      <c r="A928" s="3"/>
      <c r="B928" s="3"/>
      <c r="C928" s="2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ht="15.75" customHeight="1">
      <c r="A929" s="3"/>
      <c r="B929" s="3"/>
      <c r="C929" s="2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ht="15.75" customHeight="1">
      <c r="A930" s="3"/>
      <c r="B930" s="3"/>
      <c r="C930" s="2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ht="15.75" customHeight="1">
      <c r="A931" s="3"/>
      <c r="B931" s="3"/>
      <c r="C931" s="2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ht="15.75" customHeight="1">
      <c r="A932" s="3"/>
      <c r="B932" s="3"/>
      <c r="C932" s="2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ht="15.75" customHeight="1">
      <c r="A933" s="3"/>
      <c r="B933" s="3"/>
      <c r="C933" s="2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ht="15.75" customHeight="1">
      <c r="A934" s="3"/>
      <c r="B934" s="3"/>
      <c r="C934" s="2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ht="15.75" customHeight="1">
      <c r="A935" s="3"/>
      <c r="B935" s="3"/>
      <c r="C935" s="2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ht="15.75" customHeight="1">
      <c r="A936" s="3"/>
      <c r="B936" s="3"/>
      <c r="C936" s="2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ht="15.75" customHeight="1">
      <c r="A937" s="3"/>
      <c r="B937" s="3"/>
      <c r="C937" s="2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ht="15.75" customHeight="1">
      <c r="A938" s="3"/>
      <c r="B938" s="3"/>
      <c r="C938" s="2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ht="15.75" customHeight="1">
      <c r="A939" s="3"/>
      <c r="B939" s="3"/>
      <c r="C939" s="2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ht="15.75" customHeight="1">
      <c r="A940" s="3"/>
      <c r="B940" s="3"/>
      <c r="C940" s="2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ht="15.75" customHeight="1">
      <c r="A941" s="3"/>
      <c r="B941" s="3"/>
      <c r="C941" s="2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ht="15.75" customHeight="1">
      <c r="A942" s="3"/>
      <c r="B942" s="3"/>
      <c r="C942" s="2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ht="15.75" customHeight="1">
      <c r="A943" s="3"/>
      <c r="B943" s="3"/>
      <c r="C943" s="2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ht="15.75" customHeight="1">
      <c r="A944" s="3"/>
      <c r="B944" s="3"/>
      <c r="C944" s="2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ht="15.75" customHeight="1">
      <c r="A945" s="3"/>
      <c r="B945" s="3"/>
      <c r="C945" s="2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ht="15.75" customHeight="1">
      <c r="A946" s="3"/>
      <c r="B946" s="3"/>
      <c r="C946" s="2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ht="15.75" customHeight="1">
      <c r="A947" s="3"/>
      <c r="B947" s="3"/>
      <c r="C947" s="2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ht="15.75" customHeight="1">
      <c r="A948" s="3"/>
      <c r="B948" s="3"/>
      <c r="C948" s="2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ht="15.75" customHeight="1">
      <c r="A949" s="3"/>
      <c r="B949" s="3"/>
      <c r="C949" s="2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ht="15.75" customHeight="1">
      <c r="A950" s="3"/>
      <c r="B950" s="3"/>
      <c r="C950" s="2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ht="15.75" customHeight="1">
      <c r="A951" s="3"/>
      <c r="B951" s="3"/>
      <c r="C951" s="2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ht="15.75" customHeight="1">
      <c r="A952" s="3"/>
      <c r="B952" s="3"/>
      <c r="C952" s="2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ht="15.75" customHeight="1">
      <c r="A953" s="3"/>
      <c r="B953" s="3"/>
      <c r="C953" s="2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ht="15.75" customHeight="1">
      <c r="A954" s="3"/>
      <c r="B954" s="3"/>
      <c r="C954" s="2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ht="15.75" customHeight="1">
      <c r="A955" s="3"/>
      <c r="B955" s="3"/>
      <c r="C955" s="2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ht="15.75" customHeight="1">
      <c r="A956" s="3"/>
      <c r="B956" s="3"/>
      <c r="C956" s="2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ht="15.75" customHeight="1">
      <c r="A957" s="3"/>
      <c r="B957" s="3"/>
      <c r="C957" s="2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ht="15.75" customHeight="1">
      <c r="A958" s="3"/>
      <c r="B958" s="3"/>
      <c r="C958" s="2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ht="15.75" customHeight="1">
      <c r="A959" s="3"/>
      <c r="B959" s="3"/>
      <c r="C959" s="2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ht="15.75" customHeight="1">
      <c r="A960" s="3"/>
      <c r="B960" s="3"/>
      <c r="C960" s="2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ht="15.75" customHeight="1">
      <c r="A961" s="3"/>
      <c r="B961" s="3"/>
      <c r="C961" s="2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ht="15.75" customHeight="1">
      <c r="A962" s="3"/>
      <c r="B962" s="3"/>
      <c r="C962" s="2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ht="15.75" customHeight="1">
      <c r="A963" s="3"/>
      <c r="B963" s="3"/>
      <c r="C963" s="2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ht="15.75" customHeight="1">
      <c r="A964" s="3"/>
      <c r="B964" s="3"/>
      <c r="C964" s="2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ht="15.75" customHeight="1">
      <c r="A965" s="3"/>
      <c r="B965" s="3"/>
      <c r="C965" s="2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ht="15.75" customHeight="1">
      <c r="A966" s="3"/>
      <c r="B966" s="3"/>
      <c r="C966" s="2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ht="15.75" customHeight="1">
      <c r="A967" s="3"/>
      <c r="B967" s="3"/>
      <c r="C967" s="2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ht="15.75" customHeight="1">
      <c r="A968" s="3"/>
      <c r="B968" s="3"/>
      <c r="C968" s="2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ht="15.75" customHeight="1">
      <c r="A969" s="3"/>
      <c r="B969" s="3"/>
      <c r="C969" s="2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ht="15.75" customHeight="1">
      <c r="A970" s="3"/>
      <c r="B970" s="3"/>
      <c r="C970" s="2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ht="15.75" customHeight="1">
      <c r="A971" s="3"/>
      <c r="B971" s="3"/>
      <c r="C971" s="2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ht="15.75" customHeight="1">
      <c r="A972" s="3"/>
      <c r="B972" s="3"/>
      <c r="C972" s="2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ht="15.75" customHeight="1">
      <c r="A973" s="3"/>
      <c r="B973" s="3"/>
      <c r="C973" s="2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ht="15.75" customHeight="1">
      <c r="A974" s="3"/>
      <c r="B974" s="3"/>
      <c r="C974" s="2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ht="15.75" customHeight="1">
      <c r="A975" s="3"/>
      <c r="B975" s="3"/>
      <c r="C975" s="2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ht="15.75" customHeight="1">
      <c r="A976" s="3"/>
      <c r="B976" s="3"/>
      <c r="C976" s="2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ht="15.75" customHeight="1">
      <c r="A977" s="3"/>
      <c r="B977" s="3"/>
      <c r="C977" s="2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ht="15.75" customHeight="1">
      <c r="A978" s="3"/>
      <c r="B978" s="3"/>
      <c r="C978" s="2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ht="15.75" customHeight="1">
      <c r="A979" s="3"/>
      <c r="B979" s="3"/>
      <c r="C979" s="2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ht="15.75" customHeight="1">
      <c r="A980" s="3"/>
      <c r="B980" s="3"/>
      <c r="C980" s="2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ht="15.75" customHeight="1">
      <c r="A981" s="3"/>
      <c r="B981" s="3"/>
      <c r="C981" s="2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ht="15.75" customHeight="1">
      <c r="A982" s="3"/>
      <c r="B982" s="3"/>
      <c r="C982" s="2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ht="15.75" customHeight="1">
      <c r="A983" s="3"/>
      <c r="B983" s="3"/>
      <c r="C983" s="2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ht="15.75" customHeight="1">
      <c r="A984" s="3"/>
      <c r="B984" s="3"/>
      <c r="C984" s="2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ht="15.75" customHeight="1">
      <c r="A985" s="3"/>
      <c r="B985" s="3"/>
      <c r="C985" s="2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ht="15.75" customHeight="1">
      <c r="A986" s="3"/>
      <c r="B986" s="3"/>
      <c r="C986" s="2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ht="15.75" customHeight="1">
      <c r="A987" s="3"/>
      <c r="B987" s="3"/>
      <c r="C987" s="2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ht="15.75" customHeight="1">
      <c r="A988" s="3"/>
      <c r="B988" s="3"/>
      <c r="C988" s="2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ht="15.75" customHeight="1">
      <c r="A989" s="3"/>
      <c r="B989" s="3"/>
      <c r="C989" s="2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</sheetData>
  <mergeCells count="10">
    <mergeCell ref="A66:B66"/>
    <mergeCell ref="A96:B96"/>
    <mergeCell ref="A97:I97"/>
    <mergeCell ref="A18:I18"/>
    <mergeCell ref="K18:M18"/>
    <mergeCell ref="A36:B36"/>
    <mergeCell ref="A37:I37"/>
    <mergeCell ref="A40:I40"/>
    <mergeCell ref="A67:I67"/>
    <mergeCell ref="A70:I70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90" t="s">
        <v>126</v>
      </c>
      <c r="B1" s="91" t="s">
        <v>10</v>
      </c>
      <c r="C1" s="92"/>
      <c r="D1" s="93"/>
      <c r="E1" s="91" t="s">
        <v>17</v>
      </c>
      <c r="F1" s="92"/>
      <c r="G1" s="93"/>
      <c r="H1" s="94"/>
      <c r="I1" s="94"/>
      <c r="J1" s="94"/>
      <c r="K1" s="95" t="s">
        <v>33</v>
      </c>
      <c r="L1" s="92"/>
      <c r="M1" s="93"/>
      <c r="N1" s="95" t="s">
        <v>41</v>
      </c>
      <c r="O1" s="92"/>
      <c r="P1" s="93"/>
      <c r="Q1" s="96" t="s">
        <v>127</v>
      </c>
      <c r="R1" s="92"/>
      <c r="S1" s="93"/>
      <c r="T1" s="97" t="s">
        <v>52</v>
      </c>
      <c r="U1" s="92"/>
      <c r="V1" s="93"/>
      <c r="W1" s="97" t="s">
        <v>59</v>
      </c>
      <c r="X1" s="92"/>
      <c r="Y1" s="93"/>
      <c r="Z1" s="97" t="s">
        <v>66</v>
      </c>
      <c r="AA1" s="92"/>
      <c r="AB1" s="93"/>
      <c r="AC1" s="98" t="s">
        <v>128</v>
      </c>
    </row>
    <row r="2" ht="24.0" customHeight="1">
      <c r="A2" s="99"/>
      <c r="B2" s="100" t="s">
        <v>129</v>
      </c>
      <c r="C2" s="101" t="s">
        <v>82</v>
      </c>
      <c r="D2" s="102" t="s">
        <v>130</v>
      </c>
      <c r="E2" s="100" t="s">
        <v>129</v>
      </c>
      <c r="F2" s="101" t="s">
        <v>82</v>
      </c>
      <c r="G2" s="102" t="s">
        <v>130</v>
      </c>
      <c r="H2" s="100"/>
      <c r="I2" s="100"/>
      <c r="J2" s="100"/>
      <c r="K2" s="100" t="s">
        <v>129</v>
      </c>
      <c r="L2" s="101" t="s">
        <v>82</v>
      </c>
      <c r="M2" s="102" t="s">
        <v>130</v>
      </c>
      <c r="N2" s="100" t="s">
        <v>129</v>
      </c>
      <c r="O2" s="101" t="s">
        <v>82</v>
      </c>
      <c r="P2" s="102" t="s">
        <v>130</v>
      </c>
      <c r="Q2" s="100" t="s">
        <v>129</v>
      </c>
      <c r="R2" s="101" t="s">
        <v>82</v>
      </c>
      <c r="S2" s="102" t="s">
        <v>130</v>
      </c>
      <c r="T2" s="100" t="s">
        <v>129</v>
      </c>
      <c r="U2" s="101" t="s">
        <v>82</v>
      </c>
      <c r="V2" s="102" t="s">
        <v>130</v>
      </c>
      <c r="W2" s="100" t="s">
        <v>129</v>
      </c>
      <c r="X2" s="101" t="s">
        <v>82</v>
      </c>
      <c r="Y2" s="102" t="s">
        <v>130</v>
      </c>
      <c r="Z2" s="100" t="s">
        <v>129</v>
      </c>
      <c r="AA2" s="101" t="s">
        <v>82</v>
      </c>
      <c r="AB2" s="102" t="s">
        <v>130</v>
      </c>
      <c r="AC2" s="103"/>
    </row>
    <row r="3" ht="21.75" customHeight="1">
      <c r="A3" s="104" t="s">
        <v>131</v>
      </c>
      <c r="B3" s="105">
        <f>100%+'Weekly Tables'!I3</f>
        <v>0.8053074535</v>
      </c>
      <c r="C3" s="106">
        <f t="shared" ref="C3:C8" si="1">IFERROR(ROUND(ifs(B3="","",B3&gt;=1.05,5,B3&gt;=1.02,4+(B3-1.02)/0.03,B3&gt;=0.99,3+(B3-0.99)/0.03,B3&gt;=0.95,2+(B3-0.95)/0.04,B3&gt;=0.9,1+(B3-0.9)/0.05,TRUE(),0),1),"")</f>
        <v>0</v>
      </c>
      <c r="D3" s="107">
        <f t="shared" ref="D3:D8" si="2">IF(C3="","",C3*C$9)</f>
        <v>0</v>
      </c>
      <c r="E3" s="105">
        <f>100%+'Weekly Tables'!F3</f>
        <v>0.754578293</v>
      </c>
      <c r="F3" s="106">
        <f t="shared" ref="F3:F8" si="3">IFERROR(ROUND(ifs(E3="","",E3&gt;=1.15,5,E3&gt;=1.075,4+(E3-1.075)/0.075,E3&gt;=1.05,3+(E3-1.05)/0.025,E3&gt;=1,2+(E3-1)/0.05,E3&gt;=0.95,1+(E3-0.95)/0.05,TRUE(),0),1),"")</f>
        <v>0</v>
      </c>
      <c r="G3" s="108">
        <f t="shared" ref="G3:G8" si="4">IF(F3="","",F3*F$9)</f>
        <v>0</v>
      </c>
      <c r="H3" s="109"/>
      <c r="I3" s="109"/>
      <c r="J3" s="109"/>
      <c r="K3" s="110">
        <f>'Weekly Tables'!L3*100</f>
        <v>-0.5</v>
      </c>
      <c r="L3" s="106">
        <f t="shared" ref="L3:L8" si="5">IFERROR(ROUND(IFS(K3="","",K3&gt;=3,0,K3&gt;=2,1+(3-K3)/1,K3&gt;=1,2+(2-K3)/1,K3&gt;0,3+(1-K3)/1,K3&gt;=-1,4+(0-K3)/1,TRUE,5),1),"")</f>
        <v>4.5</v>
      </c>
      <c r="M3" s="107">
        <f t="shared" ref="M3:M8" si="6">IF(L3="","",L3*L$9)</f>
        <v>0.6525</v>
      </c>
      <c r="N3" s="111">
        <f>'Weekly Tables'!O3*100</f>
        <v>4.7</v>
      </c>
      <c r="O3" s="106">
        <f t="shared" ref="O3:O8" si="7">IFERROR(ROUND(IFS(N3="","",N3&gt;=3,0,N3&gt;=2,1+(3-N3)/1,N3&gt;=1,2+(2-N3)/1,N3&gt;0,3+(1-N3)/1,N3&gt;=-1,4+(0-N3)/1,TRUE,5),1),"")</f>
        <v>0</v>
      </c>
      <c r="P3" s="107">
        <f t="shared" ref="P3:P8" si="8">IF(O3="","",O3*O$9)</f>
        <v>0</v>
      </c>
      <c r="Q3" s="112">
        <f>'Weekly Tables'!E12</f>
        <v>4.3</v>
      </c>
      <c r="R3" s="106">
        <f t="shared" ref="R3:R8" si="9">IFERROR(ROUND(ifs(Q3="","",Value(Q3)="NA","" ,Q3&gt;=4.7,5,Q3&gt;=4.5,4+(Q3-4.5)/0.2,Q3&gt;=4.3,3+(Q3-4.3)/0.2,Q3&gt;=4,2+(Q3-4)/0.3,Q3&gt;=3.8,1+(Q3-3.8)/0.2,TRUE(),0),1),"")</f>
        <v>3</v>
      </c>
      <c r="S3" s="107">
        <f t="shared" ref="S3:S8" si="10">IF(R3="","",R3*R$9)</f>
        <v>0.87</v>
      </c>
      <c r="T3" s="113">
        <f>'Weekly Tables'!N20</f>
        <v>0.0381</v>
      </c>
      <c r="U3" s="106">
        <f t="shared" ref="U3:U8" si="11">IFERROR(ROUND(ifs(T3="","",T3&lt;=0.01,5,T3&lt;=0.015,4+(0.015-T3)/0.005,T3&lt;=0.02,3+(0.02-T3)/0.005,T3&lt;=0.04,2+(0.04-T3)/0.02,T3&lt;=0.06,1+(0.06-T3)/0.02,TRUE(),0),1),"")</f>
        <v>2.1</v>
      </c>
      <c r="V3" s="107">
        <f t="shared" ref="V3:V8" si="12">IF(U3="","",U3*U$9)</f>
        <v>0.252</v>
      </c>
      <c r="W3" s="114">
        <f t="array" ref="W3">XLOOKUP(A3,'Weekly Tables'!$B$30:$B$34,'Weekly Tables'!$H$30:$H$34)</f>
        <v>2.48</v>
      </c>
      <c r="X3" s="106">
        <f t="shared" ref="X3:X6" si="13">IFERROR(ROUND(ifs(W3="","",W3&lt;=1,5,W3&lt;=1.5,4+(1.5-W3)/0.5,W3&lt;=2,3+(2-W3)/0.5,W3&lt;=5,2+(5-W3)/3,W3&lt;=8,1+(8-W3)/3,TRUE(),0),1),"")</f>
        <v>2.8</v>
      </c>
      <c r="Y3" s="107">
        <f t="shared" ref="Y3:Y8" si="14">IF(X3="","",X3*X$9)</f>
        <v>0.252</v>
      </c>
      <c r="Z3" s="115">
        <f>'Weekly Tables'!E20</f>
        <v>4.3</v>
      </c>
      <c r="AA3" s="106">
        <f t="shared" ref="AA3:AA8" si="15">IFERROR(ROUND(ifs(Z3="","",Z3&gt;=4.7,5,Z3&gt;=4.5,4+(Z3-4.5)/0.2,Z3&gt;=4.3,3+(Z3-4.3)/0.2,Z3&gt;=4,2+(Z3-4)/0.3,Z3&gt;=3.8,1+(Z3-3.8)/0.2,TRUE(),0),1),"")</f>
        <v>3</v>
      </c>
      <c r="AB3" s="107">
        <f t="shared" ref="AB3:AB8" si="16">IF(AA3="","",AA3*AA$9)</f>
        <v>0.27</v>
      </c>
      <c r="AC3" s="106">
        <f t="shared" ref="AC3:AC8" si="17">SUM(D3,G3,J3,M3,P3,S3,V3,Y3,AB3)</f>
        <v>2.2965</v>
      </c>
    </row>
    <row r="4" ht="21.75" customHeight="1">
      <c r="A4" s="104" t="s">
        <v>132</v>
      </c>
      <c r="B4" s="116">
        <f>100%+'Weekly Tables'!I4</f>
        <v>1.057140652</v>
      </c>
      <c r="C4" s="106">
        <f t="shared" si="1"/>
        <v>5</v>
      </c>
      <c r="D4" s="107">
        <f t="shared" si="2"/>
        <v>0.3</v>
      </c>
      <c r="E4" s="116">
        <f>100%+'Weekly Tables'!F4</f>
        <v>1.481524028</v>
      </c>
      <c r="F4" s="106">
        <f t="shared" si="3"/>
        <v>5</v>
      </c>
      <c r="G4" s="108">
        <f t="shared" si="4"/>
        <v>0.3</v>
      </c>
      <c r="H4" s="109"/>
      <c r="I4" s="109"/>
      <c r="J4" s="109"/>
      <c r="K4" s="117">
        <f>'Weekly Tables'!L4*100</f>
        <v>-5.9</v>
      </c>
      <c r="L4" s="106">
        <f t="shared" si="5"/>
        <v>5</v>
      </c>
      <c r="M4" s="107">
        <f t="shared" si="6"/>
        <v>0.725</v>
      </c>
      <c r="N4" s="118">
        <f>'Weekly Tables'!O4*100</f>
        <v>1.6</v>
      </c>
      <c r="O4" s="106">
        <f t="shared" si="7"/>
        <v>2.4</v>
      </c>
      <c r="P4" s="107">
        <f t="shared" si="8"/>
        <v>0.348</v>
      </c>
      <c r="Q4" s="119">
        <f>'Weekly Tables'!E15</f>
        <v>2</v>
      </c>
      <c r="R4" s="106">
        <f t="shared" si="9"/>
        <v>0</v>
      </c>
      <c r="S4" s="107">
        <f t="shared" si="10"/>
        <v>0</v>
      </c>
      <c r="T4" s="120">
        <f>'Weekly Tables'!N23</f>
        <v>0.0074</v>
      </c>
      <c r="U4" s="106">
        <f t="shared" si="11"/>
        <v>5</v>
      </c>
      <c r="V4" s="107">
        <f t="shared" si="12"/>
        <v>0.6</v>
      </c>
      <c r="W4" s="114">
        <f t="array" ref="W4">XLOOKUP(A4,'Weekly Tables'!$B$30:$B$34,'Weekly Tables'!$H$30:$H$34)</f>
        <v>2.02</v>
      </c>
      <c r="X4" s="106">
        <f t="shared" si="13"/>
        <v>3</v>
      </c>
      <c r="Y4" s="107">
        <f t="shared" si="14"/>
        <v>0.27</v>
      </c>
      <c r="Z4" s="115">
        <f>'Weekly Tables'!E23</f>
        <v>4.3</v>
      </c>
      <c r="AA4" s="106">
        <f t="shared" si="15"/>
        <v>3</v>
      </c>
      <c r="AB4" s="107">
        <f t="shared" si="16"/>
        <v>0.27</v>
      </c>
      <c r="AC4" s="106">
        <f t="shared" si="17"/>
        <v>2.813</v>
      </c>
    </row>
    <row r="5" ht="21.75" customHeight="1">
      <c r="A5" s="104" t="s">
        <v>133</v>
      </c>
      <c r="B5" s="105">
        <f>100%+'Weekly Tables'!I5</f>
        <v>0.7913728096</v>
      </c>
      <c r="C5" s="106">
        <f t="shared" si="1"/>
        <v>0</v>
      </c>
      <c r="D5" s="107">
        <f t="shared" si="2"/>
        <v>0</v>
      </c>
      <c r="E5" s="116">
        <f>100%+'Weekly Tables'!F5</f>
        <v>1.196082061</v>
      </c>
      <c r="F5" s="106">
        <f t="shared" si="3"/>
        <v>5</v>
      </c>
      <c r="G5" s="108">
        <f t="shared" si="4"/>
        <v>0.3</v>
      </c>
      <c r="H5" s="109"/>
      <c r="I5" s="109"/>
      <c r="J5" s="109"/>
      <c r="K5" s="110">
        <f>'Weekly Tables'!L5*100</f>
        <v>0</v>
      </c>
      <c r="L5" s="106">
        <f t="shared" si="5"/>
        <v>4</v>
      </c>
      <c r="M5" s="107">
        <f t="shared" si="6"/>
        <v>0.58</v>
      </c>
      <c r="N5" s="121">
        <f>'Weekly Tables'!O5*100</f>
        <v>1.3</v>
      </c>
      <c r="O5" s="106">
        <f t="shared" si="7"/>
        <v>2.7</v>
      </c>
      <c r="P5" s="107">
        <f t="shared" si="8"/>
        <v>0.3915</v>
      </c>
      <c r="Q5" s="119">
        <f>'Weekly Tables'!E13</f>
        <v>1.5</v>
      </c>
      <c r="R5" s="106">
        <f t="shared" si="9"/>
        <v>0</v>
      </c>
      <c r="S5" s="107">
        <f t="shared" si="10"/>
        <v>0</v>
      </c>
      <c r="T5" s="113">
        <f>'Weekly Tables'!N21</f>
        <v>0.0292</v>
      </c>
      <c r="U5" s="106">
        <f t="shared" si="11"/>
        <v>2.5</v>
      </c>
      <c r="V5" s="107">
        <f t="shared" si="12"/>
        <v>0.3</v>
      </c>
      <c r="W5" s="122">
        <f t="array" ref="W5">XLOOKUP(A5,'Weekly Tables'!$B$30:$B$34,'Weekly Tables'!$H$30:$H$34)</f>
        <v>1.2</v>
      </c>
      <c r="X5" s="106">
        <f t="shared" si="13"/>
        <v>4.6</v>
      </c>
      <c r="Y5" s="107">
        <f t="shared" si="14"/>
        <v>0.414</v>
      </c>
      <c r="Z5" s="123">
        <f>'Weekly Tables'!E21</f>
        <v>4.6</v>
      </c>
      <c r="AA5" s="106">
        <f t="shared" si="15"/>
        <v>4.5</v>
      </c>
      <c r="AB5" s="107">
        <f t="shared" si="16"/>
        <v>0.405</v>
      </c>
      <c r="AC5" s="106">
        <f t="shared" si="17"/>
        <v>2.3905</v>
      </c>
    </row>
    <row r="6" ht="21.75" customHeight="1">
      <c r="A6" s="104" t="s">
        <v>134</v>
      </c>
      <c r="B6" s="105">
        <f>100%+'Weekly Tables'!I6</f>
        <v>0.8703104349</v>
      </c>
      <c r="C6" s="106">
        <f t="shared" si="1"/>
        <v>0</v>
      </c>
      <c r="D6" s="107">
        <f t="shared" si="2"/>
        <v>0</v>
      </c>
      <c r="E6" s="124">
        <f>100%+'Weekly Tables'!F6</f>
        <v>1.021909008</v>
      </c>
      <c r="F6" s="106">
        <f t="shared" si="3"/>
        <v>2.4</v>
      </c>
      <c r="G6" s="108">
        <f t="shared" si="4"/>
        <v>0.144</v>
      </c>
      <c r="H6" s="109"/>
      <c r="I6" s="109"/>
      <c r="J6" s="109"/>
      <c r="K6" s="111">
        <f>'Weekly Tables'!L6*100</f>
        <v>3.2</v>
      </c>
      <c r="L6" s="106">
        <f t="shared" si="5"/>
        <v>0</v>
      </c>
      <c r="M6" s="107">
        <f t="shared" si="6"/>
        <v>0</v>
      </c>
      <c r="N6" s="111">
        <f>'Weekly Tables'!O6*100</f>
        <v>2.7</v>
      </c>
      <c r="O6" s="106">
        <f t="shared" si="7"/>
        <v>1.3</v>
      </c>
      <c r="P6" s="107">
        <f t="shared" si="8"/>
        <v>0.1885</v>
      </c>
      <c r="Q6" s="119">
        <f>'Weekly Tables'!E14</f>
        <v>3</v>
      </c>
      <c r="R6" s="106">
        <f t="shared" si="9"/>
        <v>0</v>
      </c>
      <c r="S6" s="107">
        <f t="shared" si="10"/>
        <v>0</v>
      </c>
      <c r="T6" s="125">
        <f>'Weekly Tables'!N22</f>
        <v>0.0222</v>
      </c>
      <c r="U6" s="106">
        <f t="shared" si="11"/>
        <v>2.9</v>
      </c>
      <c r="V6" s="107">
        <f t="shared" si="12"/>
        <v>0.348</v>
      </c>
      <c r="W6" s="126">
        <f t="array" ref="W6">XLOOKUP(A6,'Weekly Tables'!$B$30:$B$34,'Weekly Tables'!$H$30:$H$34)</f>
        <v>1.17</v>
      </c>
      <c r="X6" s="106">
        <f t="shared" si="13"/>
        <v>4.7</v>
      </c>
      <c r="Y6" s="107">
        <f t="shared" si="14"/>
        <v>0.423</v>
      </c>
      <c r="Z6" s="123">
        <f>'Weekly Tables'!E22</f>
        <v>4.5</v>
      </c>
      <c r="AA6" s="106">
        <f t="shared" si="15"/>
        <v>4</v>
      </c>
      <c r="AB6" s="107">
        <f t="shared" si="16"/>
        <v>0.36</v>
      </c>
      <c r="AC6" s="106">
        <f t="shared" si="17"/>
        <v>1.4635</v>
      </c>
    </row>
    <row r="7" ht="21.75" customHeight="1">
      <c r="A7" s="127" t="s">
        <v>135</v>
      </c>
      <c r="B7" s="105">
        <f>100%+'Weekly Tables'!I7</f>
        <v>0.7840265131</v>
      </c>
      <c r="C7" s="106">
        <f t="shared" si="1"/>
        <v>0</v>
      </c>
      <c r="D7" s="107">
        <f t="shared" si="2"/>
        <v>0</v>
      </c>
      <c r="E7" s="128">
        <f>100%+'Weekly Tables'!F7</f>
        <v>1.084955287</v>
      </c>
      <c r="F7" s="106">
        <f t="shared" si="3"/>
        <v>4.1</v>
      </c>
      <c r="G7" s="108">
        <f t="shared" si="4"/>
        <v>0.246</v>
      </c>
      <c r="H7" s="109"/>
      <c r="I7" s="109"/>
      <c r="J7" s="109"/>
      <c r="K7" s="111">
        <f>'Weekly Tables'!L7*100</f>
        <v>4.5</v>
      </c>
      <c r="L7" s="106">
        <f t="shared" si="5"/>
        <v>0</v>
      </c>
      <c r="M7" s="107">
        <f t="shared" si="6"/>
        <v>0</v>
      </c>
      <c r="N7" s="118">
        <f>'Weekly Tables'!O7*100</f>
        <v>2</v>
      </c>
      <c r="O7" s="106">
        <f t="shared" si="7"/>
        <v>2</v>
      </c>
      <c r="P7" s="107">
        <f t="shared" si="8"/>
        <v>0.29</v>
      </c>
      <c r="Q7" s="129">
        <f>'Weekly Tables'!E16</f>
        <v>5</v>
      </c>
      <c r="R7" s="106">
        <f t="shared" si="9"/>
        <v>5</v>
      </c>
      <c r="S7" s="107">
        <f t="shared" si="10"/>
        <v>1.45</v>
      </c>
      <c r="T7" s="125">
        <f>'Weekly Tables'!N24</f>
        <v>0.027</v>
      </c>
      <c r="U7" s="106">
        <f t="shared" si="11"/>
        <v>2.7</v>
      </c>
      <c r="V7" s="107">
        <f t="shared" si="12"/>
        <v>0.324</v>
      </c>
      <c r="W7" s="122">
        <f t="array" ref="W7">XLOOKUP(A7,'Weekly Tables'!$B$30:$B$34,'Weekly Tables'!$H$30:$H$34)</f>
        <v>1.65</v>
      </c>
      <c r="X7" s="130">
        <f>IFERROR(ROUND(ifs(W7="","",W7&lt;=1,5,W7&lt;=1.5,4+(1.5-W7)/0.5,W7&lt;=2,3+(2-W7)/0.5,W7&lt;=5,2+(5-W7)/3,W7&lt;=8,1+(8-W7)/3,TRUE(),0),1),"")</f>
        <v>3.7</v>
      </c>
      <c r="Y7" s="107">
        <f t="shared" si="14"/>
        <v>0.333</v>
      </c>
      <c r="Z7" s="131">
        <f>'Weekly Tables'!E24</f>
        <v>4</v>
      </c>
      <c r="AA7" s="106">
        <f t="shared" si="15"/>
        <v>2</v>
      </c>
      <c r="AB7" s="107">
        <f t="shared" si="16"/>
        <v>0.18</v>
      </c>
      <c r="AC7" s="106">
        <f t="shared" si="17"/>
        <v>2.823</v>
      </c>
    </row>
    <row r="8" ht="21.75" customHeight="1">
      <c r="A8" s="132" t="s">
        <v>136</v>
      </c>
      <c r="B8" s="133">
        <f>100%+'Weekly Tables'!I8</f>
        <v>0.853896842</v>
      </c>
      <c r="C8" s="134">
        <f t="shared" si="1"/>
        <v>0</v>
      </c>
      <c r="D8" s="135">
        <f t="shared" si="2"/>
        <v>0</v>
      </c>
      <c r="E8" s="136">
        <f>100%+'Weekly Tables'!F8</f>
        <v>1.107363436</v>
      </c>
      <c r="F8" s="134">
        <f t="shared" si="3"/>
        <v>4.4</v>
      </c>
      <c r="G8" s="137">
        <f t="shared" si="4"/>
        <v>0.264</v>
      </c>
      <c r="H8" s="138"/>
      <c r="I8" s="138"/>
      <c r="J8" s="138"/>
      <c r="K8" s="139">
        <f>'Weekly Tables'!L8*100</f>
        <v>0</v>
      </c>
      <c r="L8" s="134">
        <f t="shared" si="5"/>
        <v>4</v>
      </c>
      <c r="M8" s="135">
        <f t="shared" si="6"/>
        <v>0.58</v>
      </c>
      <c r="N8" s="140">
        <f>'Weekly Tables'!O8*100</f>
        <v>2.2</v>
      </c>
      <c r="O8" s="134">
        <f t="shared" si="7"/>
        <v>1.8</v>
      </c>
      <c r="P8" s="135">
        <f t="shared" si="8"/>
        <v>0.261</v>
      </c>
      <c r="Q8" s="141">
        <f>'Weekly Tables'!E17</f>
        <v>4.14</v>
      </c>
      <c r="R8" s="134">
        <f t="shared" si="9"/>
        <v>2.5</v>
      </c>
      <c r="S8" s="135">
        <f t="shared" si="10"/>
        <v>0.725</v>
      </c>
      <c r="T8" s="142">
        <f>'Weekly Tables'!N25</f>
        <v>0.02478</v>
      </c>
      <c r="U8" s="134">
        <f t="shared" si="11"/>
        <v>2.8</v>
      </c>
      <c r="V8" s="135">
        <f t="shared" si="12"/>
        <v>0.336</v>
      </c>
      <c r="W8" s="143">
        <f t="array" ref="W8">XLOOKUP(A8,'Weekly Tables'!$B$30:$B$35,'Weekly Tables'!$H$30:$H$35)</f>
        <v>1.53</v>
      </c>
      <c r="X8" s="134">
        <f>IFERROR(ROUND(ifs(W8="","",W8&lt;=1,5,W8&lt;=1.5,4+(1.5-W8)/0.5,W8&lt;=2,3+(2-W8)/0.5,W8&lt;=5,2+(5-W8)/3,W8&lt;=8,1+(8-W8)/3,TRUE(),0),1),"")</f>
        <v>3.9</v>
      </c>
      <c r="Y8" s="135">
        <f t="shared" si="14"/>
        <v>0.351</v>
      </c>
      <c r="Z8" s="144">
        <f>'Weekly Tables'!E25</f>
        <v>4.34</v>
      </c>
      <c r="AA8" s="134">
        <f t="shared" si="15"/>
        <v>3.2</v>
      </c>
      <c r="AB8" s="135">
        <f t="shared" si="16"/>
        <v>0.288</v>
      </c>
      <c r="AC8" s="134">
        <f t="shared" si="17"/>
        <v>2.805</v>
      </c>
    </row>
    <row r="9" ht="19.5" customHeight="1">
      <c r="A9" s="145" t="s">
        <v>137</v>
      </c>
      <c r="B9" s="146"/>
      <c r="C9" s="147">
        <f>'Scoring Matrix'!C20</f>
        <v>0.06</v>
      </c>
      <c r="D9" s="148"/>
      <c r="E9" s="146"/>
      <c r="F9" s="147">
        <f>'Scoring Matrix'!C22</f>
        <v>0.06</v>
      </c>
      <c r="G9" s="149"/>
      <c r="H9" s="150"/>
      <c r="I9" s="151"/>
      <c r="J9" s="152"/>
      <c r="K9" s="146"/>
      <c r="L9" s="147">
        <f>'Scoring Matrix'!C24</f>
        <v>0.145</v>
      </c>
      <c r="M9" s="148"/>
      <c r="N9" s="146"/>
      <c r="O9" s="147">
        <f>'Scoring Matrix'!C26</f>
        <v>0.145</v>
      </c>
      <c r="P9" s="148"/>
      <c r="Q9" s="146"/>
      <c r="R9" s="147">
        <f>'Scoring Matrix'!C28</f>
        <v>0.29</v>
      </c>
      <c r="S9" s="148"/>
      <c r="T9" s="146"/>
      <c r="U9" s="153">
        <f>'Scoring Matrix'!C30</f>
        <v>0.12</v>
      </c>
      <c r="V9" s="148"/>
      <c r="W9" s="146"/>
      <c r="X9" s="153">
        <f>'Scoring Matrix'!C32</f>
        <v>0.09</v>
      </c>
      <c r="Y9" s="148"/>
      <c r="Z9" s="146"/>
      <c r="AA9" s="153">
        <f>'Scoring Matrix'!C34</f>
        <v>0.09</v>
      </c>
      <c r="AB9" s="148"/>
      <c r="AC9" s="154"/>
    </row>
    <row r="10" ht="21.75" customHeight="1">
      <c r="A10" s="155"/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</row>
    <row r="11">
      <c r="A11" s="155"/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</row>
    <row r="12" ht="24.0" customHeight="1">
      <c r="A12" s="156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</row>
    <row r="13">
      <c r="A13" s="155"/>
      <c r="B13" s="155"/>
      <c r="C13" s="158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</row>
    <row r="14">
      <c r="A14" s="155"/>
      <c r="B14" s="155"/>
      <c r="C14" s="158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</row>
    <row r="15">
      <c r="A15" s="155"/>
      <c r="B15" s="155"/>
      <c r="C15" s="158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</row>
    <row r="16">
      <c r="A16" s="155"/>
      <c r="B16" s="155"/>
      <c r="C16" s="158"/>
      <c r="D16" s="155"/>
      <c r="E16" s="155"/>
      <c r="F16" s="155"/>
      <c r="G16" s="155"/>
      <c r="H16" s="155"/>
      <c r="I16" s="155"/>
      <c r="J16" s="159" t="s">
        <v>138</v>
      </c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</row>
    <row r="17">
      <c r="A17" s="155"/>
      <c r="B17" s="155"/>
      <c r="C17" s="158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</row>
    <row r="18">
      <c r="A18" s="155"/>
      <c r="B18" s="155"/>
      <c r="C18" s="158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</row>
    <row r="19">
      <c r="A19" s="155"/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</row>
    <row r="20">
      <c r="A20" s="155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</row>
    <row r="21" ht="15.75" customHeight="1">
      <c r="A21" s="155"/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</row>
    <row r="22" ht="15.75" customHeight="1">
      <c r="A22" s="155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</row>
    <row r="23" ht="15.75" customHeight="1">
      <c r="A23" s="155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</row>
    <row r="24" ht="15.75" customHeight="1">
      <c r="A24" s="155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</row>
    <row r="25" ht="15.75" customHeight="1">
      <c r="A25" s="155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</row>
    <row r="26" ht="15.75" customHeight="1">
      <c r="A26" s="155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</row>
    <row r="27" ht="15.75" customHeight="1">
      <c r="A27" s="155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</row>
    <row r="28" ht="15.75" customHeight="1">
      <c r="A28" s="155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</row>
    <row r="29" ht="15.75" customHeight="1">
      <c r="A29" s="155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</row>
    <row r="30" ht="15.75" customHeight="1">
      <c r="A30" s="155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</row>
    <row r="31" ht="15.75" customHeight="1">
      <c r="A31" s="155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</row>
    <row r="32" ht="15.75" customHeight="1">
      <c r="A32" s="155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</row>
    <row r="33" ht="15.75" customHeight="1">
      <c r="A33" s="155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</row>
    <row r="34" ht="15.75" customHeight="1">
      <c r="A34" s="155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</row>
    <row r="35" ht="15.75" customHeight="1">
      <c r="A35" s="155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</row>
    <row r="36" ht="15.75" customHeight="1">
      <c r="A36" s="155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</row>
    <row r="37" ht="15.75" customHeight="1">
      <c r="A37" s="155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</row>
    <row r="38" ht="15.75" customHeight="1">
      <c r="A38" s="155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</row>
    <row r="39" ht="15.75" customHeight="1">
      <c r="A39" s="155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</row>
    <row r="40" ht="15.75" customHeight="1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</row>
    <row r="41" ht="15.75" customHeight="1">
      <c r="A41" s="155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</row>
    <row r="42" ht="15.75" customHeight="1">
      <c r="A42" s="155"/>
      <c r="B42" s="155"/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</row>
    <row r="43" ht="15.75" customHeight="1">
      <c r="A43" s="155"/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</row>
    <row r="44" ht="15.75" customHeight="1">
      <c r="A44" s="155"/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</row>
    <row r="45" ht="15.75" customHeight="1">
      <c r="A45" s="155"/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</row>
    <row r="46" ht="15.75" customHeight="1">
      <c r="A46" s="155"/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</row>
    <row r="47" ht="15.75" customHeight="1">
      <c r="A47" s="155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</row>
    <row r="48" ht="15.75" customHeight="1">
      <c r="A48" s="155"/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</row>
    <row r="49" ht="15.75" customHeight="1">
      <c r="A49" s="155"/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</row>
    <row r="50" ht="15.75" customHeight="1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</row>
    <row r="51" ht="15.75" customHeight="1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  <c r="AC51" s="155"/>
    </row>
    <row r="52" ht="15.75" customHeight="1">
      <c r="A52" s="155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  <c r="AC52" s="155"/>
    </row>
    <row r="53" ht="15.75" customHeight="1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</row>
    <row r="54" ht="15.75" customHeight="1">
      <c r="A54" s="155"/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55"/>
    </row>
    <row r="55" ht="15.75" customHeight="1">
      <c r="A55" s="155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</row>
    <row r="56" ht="15.75" customHeight="1">
      <c r="A56" s="15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  <c r="AC56" s="155"/>
    </row>
    <row r="57" ht="15.75" customHeight="1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</row>
    <row r="58" ht="15.75" customHeight="1">
      <c r="A58" s="155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</row>
    <row r="59" ht="15.75" customHeight="1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</row>
    <row r="60" ht="15.75" customHeight="1">
      <c r="A60" s="155"/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</row>
    <row r="61" ht="15.75" customHeight="1">
      <c r="A61" s="155"/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</row>
    <row r="62" ht="15.75" customHeight="1">
      <c r="A62" s="155"/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</row>
    <row r="63" ht="15.75" customHeight="1">
      <c r="A63" s="155"/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</row>
    <row r="64" ht="15.75" customHeight="1">
      <c r="A64" s="155"/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</row>
    <row r="65" ht="15.75" customHeight="1">
      <c r="A65" s="155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</row>
    <row r="66" ht="15.75" customHeight="1">
      <c r="A66" s="155"/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</row>
    <row r="67" ht="15.75" customHeight="1">
      <c r="A67" s="155"/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</row>
    <row r="68" ht="15.75" customHeight="1">
      <c r="A68" s="155"/>
      <c r="B68" s="155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</row>
    <row r="69" ht="15.75" customHeight="1">
      <c r="A69" s="155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</row>
    <row r="70" ht="15.75" customHeight="1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  <c r="AA70" s="155"/>
      <c r="AB70" s="155"/>
      <c r="AC70" s="155"/>
    </row>
    <row r="71" ht="15.75" customHeight="1">
      <c r="A71" s="155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</row>
    <row r="72" ht="15.75" customHeight="1">
      <c r="A72" s="155"/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5"/>
      <c r="AB72" s="155"/>
      <c r="AC72" s="155"/>
    </row>
    <row r="73" ht="15.75" customHeight="1">
      <c r="A73" s="155"/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</row>
    <row r="74" ht="15.75" customHeight="1">
      <c r="A74" s="155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  <c r="AA74" s="155"/>
      <c r="AB74" s="155"/>
      <c r="AC74" s="155"/>
    </row>
    <row r="75" ht="15.75" customHeight="1">
      <c r="A75" s="155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  <c r="AC75" s="155"/>
    </row>
    <row r="76" ht="15.75" customHeight="1">
      <c r="A76" s="155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  <c r="AA76" s="155"/>
      <c r="AB76" s="155"/>
      <c r="AC76" s="155"/>
    </row>
    <row r="77" ht="15.75" customHeight="1">
      <c r="A77" s="155"/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  <c r="AA77" s="155"/>
      <c r="AB77" s="155"/>
      <c r="AC77" s="155"/>
    </row>
    <row r="78" ht="15.75" customHeight="1">
      <c r="A78" s="155"/>
      <c r="B78" s="155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  <c r="AA78" s="155"/>
      <c r="AB78" s="155"/>
      <c r="AC78" s="155"/>
    </row>
    <row r="79" ht="15.75" customHeight="1">
      <c r="A79" s="155"/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55"/>
      <c r="AB79" s="155"/>
      <c r="AC79" s="155"/>
    </row>
    <row r="80" ht="15.75" customHeight="1">
      <c r="A80" s="155"/>
      <c r="B80" s="155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  <c r="AA80" s="155"/>
      <c r="AB80" s="155"/>
      <c r="AC80" s="155"/>
    </row>
    <row r="81" ht="15.75" customHeight="1">
      <c r="A81" s="155"/>
      <c r="B81" s="155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  <c r="AA81" s="155"/>
      <c r="AB81" s="155"/>
      <c r="AC81" s="155"/>
    </row>
    <row r="82" ht="15.75" customHeight="1">
      <c r="A82" s="155"/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5"/>
      <c r="AB82" s="155"/>
      <c r="AC82" s="155"/>
    </row>
    <row r="83" ht="15.75" customHeight="1">
      <c r="A83" s="155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  <c r="AC83" s="155"/>
    </row>
    <row r="84" ht="15.75" customHeight="1">
      <c r="A84" s="155"/>
      <c r="B84" s="155"/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  <c r="AA84" s="155"/>
      <c r="AB84" s="155"/>
      <c r="AC84" s="155"/>
    </row>
    <row r="85" ht="15.75" customHeight="1">
      <c r="A85" s="155"/>
      <c r="B85" s="155"/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</row>
    <row r="86" ht="15.75" customHeight="1">
      <c r="A86" s="155"/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  <c r="AC86" s="155"/>
    </row>
    <row r="87" ht="15.75" customHeight="1">
      <c r="A87" s="155"/>
      <c r="B87" s="155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55"/>
    </row>
    <row r="88" ht="15.75" customHeight="1">
      <c r="A88" s="155"/>
      <c r="B88" s="155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  <c r="AA88" s="155"/>
      <c r="AB88" s="155"/>
      <c r="AC88" s="155"/>
    </row>
    <row r="89" ht="15.75" customHeight="1">
      <c r="A89" s="155"/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55"/>
    </row>
    <row r="90" ht="15.75" customHeight="1">
      <c r="A90" s="155"/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  <c r="AA90" s="155"/>
      <c r="AB90" s="155"/>
      <c r="AC90" s="155"/>
    </row>
    <row r="91" ht="15.75" customHeight="1">
      <c r="A91" s="155"/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  <c r="AA91" s="155"/>
      <c r="AB91" s="155"/>
      <c r="AC91" s="155"/>
    </row>
    <row r="92" ht="15.75" customHeight="1">
      <c r="A92" s="155"/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  <c r="AA92" s="155"/>
      <c r="AB92" s="155"/>
      <c r="AC92" s="155"/>
    </row>
    <row r="93" ht="15.75" customHeight="1">
      <c r="A93" s="155"/>
      <c r="B93" s="155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  <c r="AA93" s="155"/>
      <c r="AB93" s="155"/>
      <c r="AC93" s="155"/>
    </row>
    <row r="94" ht="15.75" customHeight="1">
      <c r="A94" s="155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  <c r="AA94" s="155"/>
      <c r="AB94" s="155"/>
      <c r="AC94" s="155"/>
    </row>
    <row r="95" ht="15.75" customHeight="1">
      <c r="A95" s="155"/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  <c r="AC95" s="155"/>
    </row>
    <row r="96" ht="15.75" customHeight="1">
      <c r="A96" s="155"/>
      <c r="B96" s="155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  <c r="AB96" s="155"/>
      <c r="AC96" s="155"/>
    </row>
    <row r="97" ht="15.75" customHeight="1">
      <c r="A97" s="155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  <c r="AC97" s="155"/>
    </row>
    <row r="98" ht="15.75" customHeight="1">
      <c r="A98" s="155"/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  <c r="AB98" s="155"/>
      <c r="AC98" s="155"/>
    </row>
    <row r="99" ht="15.75" customHeight="1">
      <c r="A99" s="155"/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  <c r="AB99" s="155"/>
      <c r="AC99" s="155"/>
    </row>
    <row r="100" ht="15.75" customHeight="1">
      <c r="A100" s="155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  <c r="AA100" s="155"/>
      <c r="AB100" s="155"/>
      <c r="AC100" s="155"/>
    </row>
    <row r="101" ht="15.75" customHeight="1">
      <c r="A101" s="155"/>
      <c r="B101" s="155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  <c r="AA101" s="155"/>
      <c r="AB101" s="155"/>
      <c r="AC101" s="155"/>
    </row>
    <row r="102" ht="15.75" customHeight="1">
      <c r="A102" s="155"/>
      <c r="B102" s="155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  <c r="AA102" s="155"/>
      <c r="AB102" s="155"/>
      <c r="AC102" s="155"/>
    </row>
    <row r="103" ht="15.75" customHeight="1">
      <c r="A103" s="155"/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  <c r="AA103" s="155"/>
      <c r="AB103" s="155"/>
      <c r="AC103" s="155"/>
    </row>
    <row r="104" ht="15.75" customHeight="1">
      <c r="A104" s="155"/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  <c r="AA104" s="155"/>
      <c r="AB104" s="155"/>
      <c r="AC104" s="155"/>
    </row>
    <row r="105" ht="15.75" customHeight="1">
      <c r="A105" s="155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  <c r="AA105" s="155"/>
      <c r="AB105" s="155"/>
      <c r="AC105" s="155"/>
    </row>
    <row r="106" ht="15.75" customHeight="1">
      <c r="A106" s="155"/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  <c r="AA106" s="155"/>
      <c r="AB106" s="155"/>
      <c r="AC106" s="155"/>
    </row>
    <row r="107" ht="15.75" customHeight="1">
      <c r="A107" s="155"/>
      <c r="B107" s="155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  <c r="AA107" s="155"/>
      <c r="AB107" s="155"/>
      <c r="AC107" s="155"/>
    </row>
    <row r="108" ht="15.75" customHeight="1">
      <c r="A108" s="155"/>
      <c r="B108" s="155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</row>
    <row r="109" ht="15.75" customHeight="1">
      <c r="A109" s="155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  <c r="AC109" s="155"/>
    </row>
    <row r="110" ht="15.75" customHeight="1">
      <c r="A110" s="155"/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  <c r="AA110" s="155"/>
      <c r="AB110" s="155"/>
      <c r="AC110" s="155"/>
    </row>
    <row r="111" ht="15.75" customHeight="1">
      <c r="A111" s="155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  <c r="AC111" s="155"/>
    </row>
    <row r="112" ht="15.75" customHeight="1">
      <c r="A112" s="155"/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  <c r="AA112" s="155"/>
      <c r="AB112" s="155"/>
      <c r="AC112" s="155"/>
    </row>
    <row r="113" ht="15.75" customHeight="1">
      <c r="A113" s="155"/>
      <c r="B113" s="155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  <c r="AA113" s="155"/>
      <c r="AB113" s="155"/>
      <c r="AC113" s="155"/>
    </row>
    <row r="114" ht="15.75" customHeight="1">
      <c r="A114" s="155"/>
      <c r="B114" s="155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  <c r="AA114" s="155"/>
      <c r="AB114" s="155"/>
      <c r="AC114" s="155"/>
    </row>
    <row r="115" ht="15.75" customHeight="1">
      <c r="A115" s="155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  <c r="AA115" s="155"/>
      <c r="AB115" s="155"/>
      <c r="AC115" s="155"/>
    </row>
    <row r="116" ht="15.75" customHeight="1">
      <c r="A116" s="155"/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  <c r="AA116" s="155"/>
      <c r="AB116" s="155"/>
      <c r="AC116" s="155"/>
    </row>
    <row r="117" ht="15.75" customHeight="1">
      <c r="A117" s="155"/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  <c r="AA117" s="155"/>
      <c r="AB117" s="155"/>
      <c r="AC117" s="155"/>
    </row>
    <row r="118" ht="15.75" customHeight="1">
      <c r="A118" s="155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  <c r="AA118" s="155"/>
      <c r="AB118" s="155"/>
      <c r="AC118" s="155"/>
    </row>
    <row r="119" ht="15.75" customHeight="1">
      <c r="A119" s="155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  <c r="AC119" s="155"/>
    </row>
    <row r="120" ht="15.75" customHeight="1">
      <c r="A120" s="155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  <c r="AC120" s="155"/>
    </row>
    <row r="121" ht="15.75" customHeight="1">
      <c r="A121" s="155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  <c r="AC121" s="155"/>
    </row>
    <row r="122" ht="15.75" customHeight="1">
      <c r="A122" s="155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  <c r="AC122" s="155"/>
    </row>
    <row r="123" ht="15.75" customHeight="1">
      <c r="A123" s="155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  <c r="AC123" s="155"/>
    </row>
    <row r="124" ht="15.75" customHeight="1">
      <c r="A124" s="155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  <c r="AC124" s="155"/>
    </row>
    <row r="125" ht="15.75" customHeight="1">
      <c r="A125" s="155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</row>
    <row r="126" ht="15.75" customHeight="1">
      <c r="A126" s="155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  <c r="AC126" s="155"/>
    </row>
    <row r="127" ht="15.75" customHeight="1">
      <c r="A127" s="155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</row>
    <row r="128" ht="15.75" customHeight="1">
      <c r="A128" s="155"/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</row>
    <row r="129" ht="15.75" customHeight="1">
      <c r="A129" s="155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</row>
    <row r="130" ht="15.75" customHeight="1">
      <c r="A130" s="155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  <c r="AC130" s="155"/>
    </row>
    <row r="131" ht="15.75" customHeight="1">
      <c r="A131" s="155"/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</row>
    <row r="132" ht="15.75" customHeight="1">
      <c r="A132" s="155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  <c r="AC132" s="155"/>
    </row>
    <row r="133" ht="15.75" customHeight="1">
      <c r="A133" s="155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</row>
    <row r="134" ht="15.75" customHeight="1">
      <c r="A134" s="155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</row>
    <row r="135" ht="15.75" customHeight="1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</row>
    <row r="136" ht="15.75" customHeight="1">
      <c r="A136" s="155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</row>
    <row r="137" ht="15.75" customHeight="1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</row>
    <row r="138" ht="15.75" customHeight="1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  <c r="AC138" s="155"/>
    </row>
    <row r="139" ht="15.75" customHeight="1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</row>
    <row r="140" ht="15.75" customHeight="1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</row>
    <row r="141" ht="15.75" customHeight="1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</row>
    <row r="142" ht="15.75" customHeight="1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  <c r="AC142" s="155"/>
    </row>
    <row r="143" ht="15.75" customHeight="1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</row>
    <row r="144" ht="15.75" customHeight="1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</row>
    <row r="145" ht="15.75" customHeight="1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</row>
    <row r="146" ht="15.75" customHeight="1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</row>
    <row r="147" ht="15.75" customHeight="1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</row>
    <row r="148" ht="15.75" customHeight="1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</row>
    <row r="149" ht="15.75" customHeight="1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</row>
    <row r="150" ht="15.75" customHeight="1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</row>
    <row r="151" ht="15.75" customHeight="1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</row>
    <row r="152" ht="15.75" customHeight="1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</row>
    <row r="153" ht="15.75" customHeight="1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</row>
    <row r="154" ht="15.75" customHeight="1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</row>
    <row r="155" ht="15.75" customHeight="1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</row>
    <row r="156" ht="15.75" customHeight="1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</row>
    <row r="157" ht="15.75" customHeight="1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  <c r="AC157" s="155"/>
    </row>
    <row r="158" ht="15.75" customHeight="1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  <c r="AC158" s="155"/>
    </row>
    <row r="159" ht="15.75" customHeight="1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  <c r="AC159" s="155"/>
    </row>
    <row r="160" ht="15.75" customHeight="1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</row>
    <row r="161" ht="15.75" customHeight="1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</row>
    <row r="162" ht="15.75" customHeight="1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</row>
    <row r="163" ht="15.75" customHeight="1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</row>
    <row r="164" ht="15.75" customHeight="1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  <c r="AC164" s="155"/>
    </row>
    <row r="165" ht="15.75" customHeight="1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  <c r="AC165" s="155"/>
    </row>
    <row r="166" ht="15.75" customHeight="1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  <c r="AC166" s="155"/>
    </row>
    <row r="167" ht="15.75" customHeight="1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  <c r="AC167" s="155"/>
    </row>
    <row r="168" ht="15.75" customHeight="1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  <c r="AC168" s="155"/>
    </row>
    <row r="169" ht="15.75" customHeight="1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  <c r="AC169" s="155"/>
    </row>
    <row r="170" ht="15.75" customHeight="1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  <c r="AC170" s="155"/>
    </row>
    <row r="171" ht="15.75" customHeight="1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  <c r="AC171" s="155"/>
    </row>
    <row r="172" ht="15.75" customHeight="1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  <c r="AC172" s="155"/>
    </row>
    <row r="173" ht="15.75" customHeight="1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  <c r="AC173" s="155"/>
    </row>
    <row r="174" ht="15.75" customHeight="1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  <c r="AC174" s="155"/>
    </row>
    <row r="175" ht="15.75" customHeight="1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  <c r="AC175" s="155"/>
    </row>
    <row r="176" ht="15.75" customHeight="1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  <c r="AC176" s="155"/>
    </row>
    <row r="177" ht="15.75" customHeight="1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  <c r="AC177" s="155"/>
    </row>
    <row r="178" ht="15.75" customHeight="1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  <c r="AC178" s="155"/>
    </row>
    <row r="179" ht="15.75" customHeight="1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  <c r="AC179" s="155"/>
    </row>
    <row r="180" ht="15.75" customHeight="1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  <c r="AC180" s="155"/>
    </row>
    <row r="181" ht="15.75" customHeight="1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  <c r="AC181" s="155"/>
    </row>
    <row r="182" ht="15.75" customHeight="1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  <c r="AC182" s="155"/>
    </row>
    <row r="183" ht="15.75" customHeight="1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  <c r="AC183" s="155"/>
    </row>
    <row r="184" ht="15.75" customHeight="1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  <c r="AC184" s="155"/>
    </row>
    <row r="185" ht="15.75" customHeight="1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  <c r="AC185" s="155"/>
    </row>
    <row r="186" ht="15.75" customHeight="1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  <c r="AC186" s="155"/>
    </row>
    <row r="187" ht="15.75" customHeight="1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  <c r="AC187" s="155"/>
    </row>
    <row r="188" ht="15.75" customHeight="1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</row>
    <row r="189" ht="15.75" customHeight="1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</row>
    <row r="190" ht="15.75" customHeight="1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  <c r="AC190" s="155"/>
    </row>
    <row r="191" ht="15.75" customHeight="1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  <c r="AC191" s="155"/>
    </row>
    <row r="192" ht="15.75" customHeight="1">
      <c r="A192" s="155"/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  <c r="AC192" s="155"/>
    </row>
    <row r="193" ht="15.75" customHeight="1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  <c r="AC193" s="155"/>
    </row>
    <row r="194" ht="15.75" customHeight="1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  <c r="AC194" s="155"/>
    </row>
    <row r="195" ht="15.75" customHeight="1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</row>
    <row r="196" ht="15.75" customHeight="1">
      <c r="A196" s="155"/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  <c r="AC196" s="155"/>
    </row>
    <row r="197" ht="15.75" customHeight="1">
      <c r="A197" s="155"/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</row>
    <row r="198" ht="15.75" customHeight="1">
      <c r="A198" s="155"/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  <c r="AC198" s="155"/>
    </row>
    <row r="199" ht="15.75" customHeight="1">
      <c r="A199" s="155"/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  <c r="AC199" s="155"/>
    </row>
    <row r="200" ht="15.75" customHeight="1">
      <c r="A200" s="155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  <c r="AC200" s="155"/>
    </row>
    <row r="201" ht="15.75" customHeight="1">
      <c r="A201" s="155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  <c r="AC201" s="155"/>
    </row>
    <row r="202" ht="15.75" customHeight="1">
      <c r="A202" s="155"/>
      <c r="B202" s="155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  <c r="AC202" s="155"/>
    </row>
    <row r="203" ht="15.75" customHeight="1">
      <c r="A203" s="155"/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  <c r="AC203" s="155"/>
    </row>
    <row r="204" ht="15.75" customHeight="1">
      <c r="A204" s="155"/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55"/>
    </row>
    <row r="205" ht="15.75" customHeight="1">
      <c r="A205" s="155"/>
      <c r="B205" s="155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  <c r="AC205" s="155"/>
    </row>
    <row r="206" ht="15.75" customHeight="1">
      <c r="A206" s="155"/>
      <c r="B206" s="155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  <c r="AC206" s="155"/>
    </row>
    <row r="207" ht="15.75" customHeight="1">
      <c r="A207" s="155"/>
      <c r="B207" s="155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  <c r="AC207" s="155"/>
    </row>
    <row r="208" ht="15.75" customHeight="1">
      <c r="A208" s="155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  <c r="AC208" s="155"/>
    </row>
    <row r="209" ht="15.75" customHeight="1">
      <c r="A209" s="155"/>
      <c r="B209" s="155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  <c r="AC209" s="155"/>
    </row>
    <row r="210" ht="15.75" customHeight="1">
      <c r="A210" s="155"/>
      <c r="B210" s="155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  <c r="AC210" s="155"/>
    </row>
    <row r="211" ht="15.75" customHeight="1">
      <c r="A211" s="155"/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  <c r="AC211" s="155"/>
    </row>
    <row r="212" ht="15.75" customHeight="1">
      <c r="A212" s="155"/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  <c r="AC212" s="155"/>
    </row>
    <row r="213" ht="15.75" customHeight="1">
      <c r="A213" s="155"/>
      <c r="B213" s="155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  <c r="AC213" s="155"/>
    </row>
    <row r="214" ht="15.75" customHeight="1">
      <c r="A214" s="155"/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</row>
    <row r="215" ht="15.75" customHeight="1">
      <c r="A215" s="155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  <c r="AC215" s="155"/>
    </row>
    <row r="216" ht="15.75" customHeight="1">
      <c r="A216" s="155"/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  <c r="AC216" s="155"/>
    </row>
    <row r="217" ht="15.75" customHeight="1">
      <c r="A217" s="155"/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  <c r="AC217" s="155"/>
    </row>
    <row r="218" ht="15.75" customHeight="1">
      <c r="A218" s="155"/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  <c r="AC218" s="155"/>
    </row>
    <row r="219" ht="15.75" customHeight="1">
      <c r="A219" s="155"/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  <c r="AC219" s="155"/>
    </row>
    <row r="220" ht="15.75" customHeight="1">
      <c r="A220" s="155"/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  <c r="AC220" s="155"/>
    </row>
    <row r="221" ht="15.75" customHeight="1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  <c r="AC221" s="155"/>
    </row>
    <row r="222" ht="15.75" customHeight="1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</row>
    <row r="223" ht="15.75" customHeight="1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</row>
    <row r="224" ht="15.75" customHeight="1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</row>
    <row r="225" ht="15.75" customHeight="1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</row>
    <row r="226" ht="15.75" customHeight="1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</row>
    <row r="227" ht="15.75" customHeight="1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  <c r="AC227" s="155"/>
    </row>
    <row r="228" ht="15.75" customHeight="1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</row>
    <row r="229" ht="15.75" customHeight="1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</row>
    <row r="230" ht="15.75" customHeight="1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</row>
    <row r="231" ht="15.75" customHeight="1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</row>
    <row r="232" ht="15.75" customHeight="1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</row>
    <row r="233" ht="15.75" customHeight="1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</row>
    <row r="234" ht="15.75" customHeight="1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</row>
    <row r="235" ht="15.75" customHeight="1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</row>
    <row r="236" ht="15.75" customHeight="1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</row>
    <row r="237" ht="15.75" customHeight="1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</row>
    <row r="238" ht="15.75" customHeight="1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</row>
    <row r="239" ht="15.75" customHeight="1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</row>
    <row r="240" ht="15.75" customHeight="1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</row>
    <row r="241" ht="15.75" customHeight="1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</row>
    <row r="242" ht="15.75" customHeight="1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</row>
    <row r="243" ht="15.75" customHeight="1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</row>
    <row r="244" ht="15.75" customHeight="1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</row>
    <row r="245" ht="15.75" customHeight="1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</row>
    <row r="246" ht="15.75" customHeight="1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</row>
    <row r="247" ht="15.75" customHeight="1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</row>
    <row r="248" ht="15.75" customHeight="1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</row>
    <row r="249" ht="15.75" customHeight="1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</row>
    <row r="250" ht="15.75" customHeight="1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</row>
    <row r="251" ht="15.75" customHeight="1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</row>
    <row r="252" ht="15.75" customHeight="1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</row>
    <row r="253" ht="15.75" customHeight="1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</row>
    <row r="254" ht="15.75" customHeight="1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</row>
    <row r="255" ht="15.75" customHeight="1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</row>
    <row r="256" ht="15.75" customHeight="1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</row>
    <row r="257" ht="15.75" customHeight="1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</row>
    <row r="258" ht="15.75" customHeight="1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</row>
    <row r="259" ht="15.75" customHeight="1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</row>
    <row r="260" ht="15.75" customHeight="1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</row>
    <row r="261" ht="15.75" customHeight="1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</row>
    <row r="262" ht="15.75" customHeight="1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</row>
    <row r="263" ht="15.75" customHeight="1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</row>
    <row r="264" ht="15.75" customHeight="1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</row>
    <row r="265" ht="15.75" customHeight="1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</row>
    <row r="266" ht="15.75" customHeight="1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</row>
    <row r="267" ht="15.75" customHeight="1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</row>
    <row r="268" ht="15.75" customHeight="1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</row>
    <row r="269" ht="15.75" customHeight="1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</row>
    <row r="270" ht="15.75" customHeight="1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</row>
    <row r="271" ht="15.75" customHeight="1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</row>
    <row r="272" ht="15.75" customHeight="1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</row>
    <row r="273" ht="15.75" customHeight="1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</row>
    <row r="274" ht="15.75" customHeight="1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</row>
    <row r="275" ht="15.75" customHeight="1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</row>
    <row r="276" ht="15.75" customHeight="1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</row>
    <row r="277" ht="15.75" customHeight="1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</row>
    <row r="278" ht="15.75" customHeight="1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</row>
    <row r="279" ht="15.75" customHeight="1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</row>
    <row r="280" ht="15.75" customHeight="1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</row>
    <row r="281" ht="15.75" customHeight="1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</row>
    <row r="282" ht="15.75" customHeight="1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</row>
    <row r="283" ht="15.75" customHeight="1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</row>
    <row r="284" ht="15.75" customHeight="1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</row>
    <row r="285" ht="15.75" customHeight="1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</row>
    <row r="286" ht="15.75" customHeight="1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</row>
    <row r="287" ht="15.75" customHeight="1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</row>
    <row r="288" ht="15.75" customHeight="1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</row>
    <row r="289" ht="15.75" customHeight="1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</row>
    <row r="290" ht="15.75" customHeight="1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</row>
    <row r="291" ht="15.75" customHeight="1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</row>
    <row r="292" ht="15.75" customHeight="1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</row>
    <row r="293" ht="15.75" customHeight="1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</row>
    <row r="294" ht="15.75" customHeight="1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</row>
    <row r="295" ht="15.75" customHeight="1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</row>
    <row r="296" ht="15.75" customHeight="1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</row>
    <row r="297" ht="15.75" customHeight="1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</row>
    <row r="298" ht="15.75" customHeight="1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</row>
    <row r="299" ht="15.75" customHeight="1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</row>
    <row r="300" ht="15.75" customHeight="1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</row>
    <row r="301" ht="15.75" customHeight="1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</row>
    <row r="302" ht="15.75" customHeight="1">
      <c r="A302" s="155"/>
      <c r="B302" s="155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  <c r="AC302" s="155"/>
    </row>
    <row r="303" ht="15.75" customHeight="1">
      <c r="A303" s="155"/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</row>
    <row r="304" ht="15.75" customHeight="1">
      <c r="A304" s="155"/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  <c r="AC304" s="155"/>
    </row>
    <row r="305" ht="15.75" customHeight="1">
      <c r="A305" s="155"/>
      <c r="B305" s="155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  <c r="AC305" s="155"/>
    </row>
    <row r="306" ht="15.75" customHeight="1">
      <c r="A306" s="155"/>
      <c r="B306" s="155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  <c r="AC306" s="155"/>
    </row>
    <row r="307" ht="15.75" customHeight="1">
      <c r="A307" s="155"/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</row>
    <row r="308" ht="15.75" customHeight="1">
      <c r="A308" s="155"/>
      <c r="B308" s="155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  <c r="AC308" s="155"/>
    </row>
    <row r="309" ht="15.75" customHeight="1">
      <c r="A309" s="155"/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</row>
    <row r="310" ht="15.75" customHeight="1">
      <c r="A310" s="155"/>
      <c r="B310" s="155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  <c r="AC310" s="155"/>
    </row>
    <row r="311" ht="15.75" customHeight="1">
      <c r="A311" s="155"/>
      <c r="B311" s="155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  <c r="AC311" s="155"/>
    </row>
    <row r="312" ht="15.75" customHeight="1">
      <c r="A312" s="155"/>
      <c r="B312" s="155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  <c r="AC312" s="155"/>
    </row>
    <row r="313" ht="15.75" customHeight="1">
      <c r="A313" s="155"/>
      <c r="B313" s="155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</row>
    <row r="314" ht="15.75" customHeight="1">
      <c r="A314" s="155"/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</row>
    <row r="315" ht="15.75" customHeight="1">
      <c r="A315" s="155"/>
      <c r="B315" s="155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  <c r="AC315" s="155"/>
    </row>
    <row r="316" ht="15.75" customHeight="1">
      <c r="A316" s="155"/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  <c r="AC316" s="155"/>
    </row>
    <row r="317" ht="15.75" customHeight="1">
      <c r="A317" s="155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  <c r="AC317" s="155"/>
    </row>
    <row r="318" ht="15.75" customHeight="1">
      <c r="A318" s="155"/>
      <c r="B318" s="155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  <c r="AC318" s="155"/>
    </row>
    <row r="319" ht="15.75" customHeight="1">
      <c r="A319" s="155"/>
      <c r="B319" s="155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  <c r="AC319" s="155"/>
    </row>
    <row r="320" ht="15.75" customHeight="1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  <c r="AC320" s="155"/>
    </row>
    <row r="321" ht="15.75" customHeight="1">
      <c r="A321" s="155"/>
      <c r="B321" s="155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  <c r="AC321" s="155"/>
    </row>
    <row r="322" ht="15.75" customHeight="1">
      <c r="A322" s="155"/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  <c r="AC322" s="155"/>
    </row>
    <row r="323" ht="15.75" customHeight="1">
      <c r="A323" s="155"/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</row>
    <row r="324" ht="15.75" customHeight="1">
      <c r="A324" s="155"/>
      <c r="B324" s="155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</row>
    <row r="325" ht="15.75" customHeight="1">
      <c r="A325" s="155"/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  <c r="AC325" s="155"/>
    </row>
    <row r="326" ht="15.75" customHeight="1">
      <c r="A326" s="155"/>
      <c r="B326" s="155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  <c r="AC326" s="155"/>
    </row>
    <row r="327" ht="15.75" customHeight="1">
      <c r="A327" s="155"/>
      <c r="B327" s="155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  <c r="AC327" s="155"/>
    </row>
    <row r="328" ht="15.75" customHeight="1">
      <c r="A328" s="155"/>
      <c r="B328" s="155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5"/>
    </row>
    <row r="329" ht="15.75" customHeight="1">
      <c r="A329" s="155"/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  <c r="AC329" s="155"/>
    </row>
    <row r="330" ht="15.75" customHeight="1">
      <c r="A330" s="155"/>
      <c r="B330" s="155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  <c r="AC330" s="155"/>
    </row>
    <row r="331" ht="15.75" customHeight="1">
      <c r="A331" s="155"/>
      <c r="B331" s="155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  <c r="AC331" s="155"/>
    </row>
    <row r="332" ht="15.75" customHeight="1">
      <c r="A332" s="155"/>
      <c r="B332" s="155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  <c r="AC332" s="155"/>
    </row>
    <row r="333" ht="15.75" customHeight="1">
      <c r="A333" s="155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  <c r="AC333" s="155"/>
    </row>
    <row r="334" ht="15.75" customHeight="1">
      <c r="A334" s="155"/>
      <c r="B334" s="155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  <c r="AC334" s="155"/>
    </row>
    <row r="335" ht="15.75" customHeight="1">
      <c r="A335" s="155"/>
      <c r="B335" s="155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  <c r="AC335" s="155"/>
    </row>
    <row r="336" ht="15.75" customHeight="1">
      <c r="A336" s="155"/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</row>
    <row r="337" ht="15.75" customHeight="1">
      <c r="A337" s="155"/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  <c r="AC337" s="155"/>
    </row>
    <row r="338" ht="15.75" customHeight="1">
      <c r="A338" s="155"/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  <c r="AC338" s="155"/>
    </row>
    <row r="339" ht="15.75" customHeight="1">
      <c r="A339" s="155"/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  <c r="AA339" s="155"/>
      <c r="AB339" s="155"/>
      <c r="AC339" s="155"/>
    </row>
    <row r="340" ht="15.75" customHeight="1">
      <c r="A340" s="155"/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  <c r="AC340" s="155"/>
    </row>
    <row r="341" ht="15.75" customHeight="1">
      <c r="A341" s="155"/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  <c r="AC341" s="155"/>
    </row>
    <row r="342" ht="15.75" customHeight="1">
      <c r="A342" s="155"/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</row>
    <row r="343" ht="15.75" customHeight="1">
      <c r="A343" s="155"/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  <c r="AC343" s="155"/>
    </row>
    <row r="344" ht="15.75" customHeight="1">
      <c r="A344" s="155"/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  <c r="AC344" s="155"/>
    </row>
    <row r="345" ht="15.75" customHeight="1">
      <c r="A345" s="155"/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  <c r="AC345" s="155"/>
    </row>
    <row r="346" ht="15.75" customHeight="1">
      <c r="A346" s="155"/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  <c r="AC346" s="155"/>
    </row>
    <row r="347" ht="15.75" customHeight="1">
      <c r="A347" s="155"/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  <c r="AC347" s="155"/>
    </row>
    <row r="348" ht="15.75" customHeight="1">
      <c r="A348" s="155"/>
      <c r="B348" s="155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55"/>
      <c r="AB348" s="155"/>
      <c r="AC348" s="155"/>
    </row>
    <row r="349" ht="15.75" customHeight="1">
      <c r="A349" s="155"/>
      <c r="B349" s="155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55"/>
      <c r="AB349" s="155"/>
      <c r="AC349" s="155"/>
    </row>
    <row r="350" ht="15.75" customHeight="1">
      <c r="A350" s="155"/>
      <c r="B350" s="155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  <c r="AA350" s="155"/>
      <c r="AB350" s="155"/>
      <c r="AC350" s="155"/>
    </row>
    <row r="351" ht="15.75" customHeight="1">
      <c r="A351" s="155"/>
      <c r="B351" s="155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  <c r="AA351" s="155"/>
      <c r="AB351" s="155"/>
      <c r="AC351" s="155"/>
    </row>
    <row r="352" ht="15.75" customHeight="1">
      <c r="A352" s="155"/>
      <c r="B352" s="155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55"/>
      <c r="AB352" s="155"/>
      <c r="AC352" s="155"/>
    </row>
    <row r="353" ht="15.75" customHeight="1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55"/>
      <c r="AB353" s="155"/>
      <c r="AC353" s="155"/>
    </row>
    <row r="354" ht="15.75" customHeight="1">
      <c r="A354" s="155"/>
      <c r="B354" s="155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</row>
    <row r="355" ht="15.75" customHeight="1">
      <c r="A355" s="155"/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55"/>
      <c r="AB355" s="155"/>
      <c r="AC355" s="155"/>
    </row>
    <row r="356" ht="15.75" customHeight="1">
      <c r="A356" s="155"/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55"/>
      <c r="AB356" s="155"/>
      <c r="AC356" s="155"/>
    </row>
    <row r="357" ht="15.75" customHeight="1">
      <c r="A357" s="155"/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  <c r="AC357" s="155"/>
    </row>
    <row r="358" ht="15.75" customHeight="1">
      <c r="A358" s="155"/>
      <c r="B358" s="155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55"/>
      <c r="AB358" s="155"/>
      <c r="AC358" s="155"/>
    </row>
    <row r="359" ht="15.75" customHeight="1">
      <c r="A359" s="155"/>
      <c r="B359" s="155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55"/>
      <c r="AB359" s="155"/>
      <c r="AC359" s="155"/>
    </row>
    <row r="360" ht="15.75" customHeight="1">
      <c r="A360" s="155"/>
      <c r="B360" s="155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55"/>
      <c r="AB360" s="155"/>
      <c r="AC360" s="155"/>
    </row>
    <row r="361" ht="15.75" customHeight="1">
      <c r="A361" s="155"/>
      <c r="B361" s="155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155"/>
      <c r="AC361" s="155"/>
    </row>
    <row r="362" ht="15.75" customHeight="1">
      <c r="A362" s="155"/>
      <c r="B362" s="155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  <c r="AA362" s="155"/>
      <c r="AB362" s="155"/>
      <c r="AC362" s="155"/>
    </row>
    <row r="363" ht="15.75" customHeight="1">
      <c r="A363" s="155"/>
      <c r="B363" s="155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  <c r="AA363" s="155"/>
      <c r="AB363" s="155"/>
      <c r="AC363" s="155"/>
    </row>
    <row r="364" ht="15.75" customHeight="1">
      <c r="A364" s="155"/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55"/>
      <c r="AB364" s="155"/>
      <c r="AC364" s="155"/>
    </row>
    <row r="365" ht="15.75" customHeight="1">
      <c r="A365" s="155"/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55"/>
      <c r="AB365" s="155"/>
      <c r="AC365" s="155"/>
    </row>
    <row r="366" ht="15.75" customHeight="1">
      <c r="A366" s="155"/>
      <c r="B366" s="155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55"/>
      <c r="AB366" s="155"/>
      <c r="AC366" s="155"/>
    </row>
    <row r="367" ht="15.75" customHeight="1">
      <c r="A367" s="155"/>
      <c r="B367" s="155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55"/>
      <c r="AB367" s="155"/>
      <c r="AC367" s="155"/>
    </row>
    <row r="368" ht="15.75" customHeight="1">
      <c r="A368" s="155"/>
      <c r="B368" s="155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55"/>
      <c r="AB368" s="155"/>
      <c r="AC368" s="155"/>
    </row>
    <row r="369" ht="15.75" customHeight="1">
      <c r="A369" s="155"/>
      <c r="B369" s="155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  <c r="AA369" s="155"/>
      <c r="AB369" s="155"/>
      <c r="AC369" s="155"/>
    </row>
    <row r="370" ht="15.75" customHeight="1">
      <c r="A370" s="155"/>
      <c r="B370" s="155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55"/>
      <c r="AB370" s="155"/>
      <c r="AC370" s="155"/>
    </row>
    <row r="371" ht="15.75" customHeight="1">
      <c r="A371" s="155"/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55"/>
      <c r="AB371" s="155"/>
      <c r="AC371" s="155"/>
    </row>
    <row r="372" ht="15.75" customHeight="1">
      <c r="A372" s="155"/>
      <c r="B372" s="155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55"/>
      <c r="AB372" s="155"/>
      <c r="AC372" s="155"/>
    </row>
    <row r="373" ht="15.75" customHeight="1">
      <c r="A373" s="155"/>
      <c r="B373" s="155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  <c r="AA373" s="155"/>
      <c r="AB373" s="155"/>
      <c r="AC373" s="155"/>
    </row>
    <row r="374" ht="15.75" customHeight="1">
      <c r="A374" s="155"/>
      <c r="B374" s="155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  <c r="AC374" s="155"/>
    </row>
    <row r="375" ht="15.75" customHeight="1">
      <c r="A375" s="155"/>
      <c r="B375" s="155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55"/>
      <c r="AB375" s="155"/>
      <c r="AC375" s="155"/>
    </row>
    <row r="376" ht="15.75" customHeight="1">
      <c r="A376" s="155"/>
      <c r="B376" s="155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  <c r="AA376" s="155"/>
      <c r="AB376" s="155"/>
      <c r="AC376" s="155"/>
    </row>
    <row r="377" ht="15.75" customHeight="1">
      <c r="A377" s="155"/>
      <c r="B377" s="155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55"/>
      <c r="AB377" s="155"/>
      <c r="AC377" s="155"/>
    </row>
    <row r="378" ht="15.75" customHeight="1">
      <c r="A378" s="155"/>
      <c r="B378" s="155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55"/>
      <c r="AB378" s="155"/>
      <c r="AC378" s="155"/>
    </row>
    <row r="379" ht="15.75" customHeight="1">
      <c r="A379" s="155"/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55"/>
      <c r="AB379" s="155"/>
      <c r="AC379" s="155"/>
    </row>
    <row r="380" ht="15.75" customHeight="1">
      <c r="A380" s="155"/>
      <c r="B380" s="155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55"/>
      <c r="AB380" s="155"/>
      <c r="AC380" s="155"/>
    </row>
    <row r="381" ht="15.75" customHeight="1">
      <c r="A381" s="155"/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</row>
    <row r="382" ht="15.75" customHeight="1">
      <c r="A382" s="155"/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  <c r="AC382" s="155"/>
    </row>
    <row r="383" ht="15.75" customHeight="1">
      <c r="A383" s="155"/>
      <c r="B383" s="155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55"/>
      <c r="AB383" s="155"/>
      <c r="AC383" s="155"/>
    </row>
    <row r="384" ht="15.75" customHeight="1">
      <c r="A384" s="155"/>
      <c r="B384" s="155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55"/>
      <c r="AB384" s="155"/>
      <c r="AC384" s="155"/>
    </row>
    <row r="385" ht="15.75" customHeight="1">
      <c r="A385" s="155"/>
      <c r="B385" s="155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  <c r="AA385" s="155"/>
      <c r="AB385" s="155"/>
      <c r="AC385" s="155"/>
    </row>
    <row r="386" ht="15.75" customHeight="1">
      <c r="A386" s="155"/>
      <c r="B386" s="155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55"/>
      <c r="AB386" s="155"/>
      <c r="AC386" s="155"/>
    </row>
    <row r="387" ht="15.75" customHeight="1">
      <c r="A387" s="155"/>
      <c r="B387" s="155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</row>
    <row r="388" ht="15.75" customHeight="1">
      <c r="A388" s="155"/>
      <c r="B388" s="155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</row>
    <row r="389" ht="15.75" customHeight="1">
      <c r="A389" s="155"/>
      <c r="B389" s="155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  <c r="AC389" s="155"/>
    </row>
    <row r="390" ht="15.75" customHeight="1">
      <c r="A390" s="155"/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55"/>
      <c r="AB390" s="155"/>
      <c r="AC390" s="155"/>
    </row>
    <row r="391" ht="15.75" customHeight="1">
      <c r="A391" s="155"/>
      <c r="B391" s="155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  <c r="AA391" s="155"/>
      <c r="AB391" s="155"/>
      <c r="AC391" s="155"/>
    </row>
    <row r="392" ht="15.75" customHeight="1">
      <c r="A392" s="155"/>
      <c r="B392" s="155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  <c r="AA392" s="155"/>
      <c r="AB392" s="155"/>
      <c r="AC392" s="155"/>
    </row>
    <row r="393" ht="15.75" customHeight="1">
      <c r="A393" s="155"/>
      <c r="B393" s="155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  <c r="AA393" s="155"/>
      <c r="AB393" s="155"/>
      <c r="AC393" s="155"/>
    </row>
    <row r="394" ht="15.75" customHeight="1">
      <c r="A394" s="155"/>
      <c r="B394" s="155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  <c r="AA394" s="155"/>
      <c r="AB394" s="155"/>
      <c r="AC394" s="155"/>
    </row>
    <row r="395" ht="15.75" customHeight="1">
      <c r="A395" s="155"/>
      <c r="B395" s="155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  <c r="AC395" s="155"/>
    </row>
    <row r="396" ht="15.75" customHeight="1">
      <c r="A396" s="155"/>
      <c r="B396" s="155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  <c r="AC396" s="155"/>
    </row>
    <row r="397" ht="15.75" customHeight="1">
      <c r="A397" s="155"/>
      <c r="B397" s="155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  <c r="AC397" s="155"/>
    </row>
    <row r="398" ht="15.75" customHeight="1">
      <c r="A398" s="155"/>
      <c r="B398" s="155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  <c r="AA398" s="155"/>
      <c r="AB398" s="155"/>
      <c r="AC398" s="155"/>
    </row>
    <row r="399" ht="15.75" customHeight="1">
      <c r="A399" s="155"/>
      <c r="B399" s="155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  <c r="AA399" s="155"/>
      <c r="AB399" s="155"/>
      <c r="AC399" s="155"/>
    </row>
    <row r="400" ht="15.75" customHeight="1">
      <c r="A400" s="155"/>
      <c r="B400" s="155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  <c r="AA400" s="155"/>
      <c r="AB400" s="155"/>
      <c r="AC400" s="155"/>
    </row>
    <row r="401" ht="15.75" customHeight="1">
      <c r="A401" s="155"/>
      <c r="B401" s="155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  <c r="AA401" s="155"/>
      <c r="AB401" s="155"/>
      <c r="AC401" s="155"/>
    </row>
    <row r="402" ht="15.75" customHeight="1">
      <c r="A402" s="155"/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  <c r="AA402" s="155"/>
      <c r="AB402" s="155"/>
      <c r="AC402" s="155"/>
    </row>
    <row r="403" ht="15.75" customHeight="1">
      <c r="A403" s="155"/>
      <c r="B403" s="155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  <c r="AA403" s="155"/>
      <c r="AB403" s="155"/>
      <c r="AC403" s="155"/>
    </row>
    <row r="404" ht="15.75" customHeight="1">
      <c r="A404" s="155"/>
      <c r="B404" s="155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  <c r="AA404" s="155"/>
      <c r="AB404" s="155"/>
      <c r="AC404" s="155"/>
    </row>
    <row r="405" ht="15.75" customHeight="1">
      <c r="A405" s="155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  <c r="AA405" s="155"/>
      <c r="AB405" s="155"/>
      <c r="AC405" s="155"/>
    </row>
    <row r="406" ht="15.75" customHeight="1">
      <c r="A406" s="155"/>
      <c r="B406" s="155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  <c r="AA406" s="155"/>
      <c r="AB406" s="155"/>
      <c r="AC406" s="155"/>
    </row>
    <row r="407" ht="15.75" customHeight="1">
      <c r="A407" s="155"/>
      <c r="B407" s="155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  <c r="AA407" s="155"/>
      <c r="AB407" s="155"/>
      <c r="AC407" s="155"/>
    </row>
    <row r="408" ht="15.75" customHeight="1">
      <c r="A408" s="155"/>
      <c r="B408" s="155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  <c r="AA408" s="155"/>
      <c r="AB408" s="155"/>
      <c r="AC408" s="155"/>
    </row>
    <row r="409" ht="15.75" customHeight="1">
      <c r="A409" s="155"/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  <c r="AC409" s="155"/>
    </row>
    <row r="410" ht="15.75" customHeight="1">
      <c r="A410" s="155"/>
      <c r="B410" s="155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  <c r="AC410" s="155"/>
    </row>
    <row r="411" ht="15.75" customHeight="1">
      <c r="A411" s="155"/>
      <c r="B411" s="155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  <c r="AA411" s="155"/>
      <c r="AB411" s="155"/>
      <c r="AC411" s="155"/>
    </row>
    <row r="412" ht="15.75" customHeight="1">
      <c r="A412" s="155"/>
      <c r="B412" s="155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55"/>
      <c r="AB412" s="155"/>
      <c r="AC412" s="155"/>
    </row>
    <row r="413" ht="15.75" customHeight="1">
      <c r="A413" s="155"/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55"/>
      <c r="AB413" s="155"/>
      <c r="AC413" s="155"/>
    </row>
    <row r="414" ht="15.75" customHeight="1">
      <c r="A414" s="155"/>
      <c r="B414" s="155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  <c r="AA414" s="155"/>
      <c r="AB414" s="155"/>
      <c r="AC414" s="155"/>
    </row>
    <row r="415" ht="15.75" customHeight="1">
      <c r="A415" s="155"/>
      <c r="B415" s="155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  <c r="AA415" s="155"/>
      <c r="AB415" s="155"/>
      <c r="AC415" s="155"/>
    </row>
    <row r="416" ht="15.75" customHeight="1">
      <c r="A416" s="155"/>
      <c r="B416" s="155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  <c r="AA416" s="155"/>
      <c r="AB416" s="155"/>
      <c r="AC416" s="155"/>
    </row>
    <row r="417" ht="15.75" customHeight="1">
      <c r="A417" s="155"/>
      <c r="B417" s="155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  <c r="AA417" s="155"/>
      <c r="AB417" s="155"/>
      <c r="AC417" s="155"/>
    </row>
    <row r="418" ht="15.75" customHeight="1">
      <c r="A418" s="155"/>
      <c r="B418" s="155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</row>
    <row r="419" ht="15.75" customHeight="1">
      <c r="A419" s="155"/>
      <c r="B419" s="155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55"/>
      <c r="AB419" s="155"/>
      <c r="AC419" s="155"/>
    </row>
    <row r="420" ht="15.75" customHeight="1">
      <c r="A420" s="155"/>
      <c r="B420" s="155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  <c r="AA420" s="155"/>
      <c r="AB420" s="155"/>
      <c r="AC420" s="155"/>
    </row>
    <row r="421" ht="15.75" customHeight="1">
      <c r="A421" s="155"/>
      <c r="B421" s="155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  <c r="AA421" s="155"/>
      <c r="AB421" s="155"/>
      <c r="AC421" s="155"/>
    </row>
    <row r="422" ht="15.75" customHeight="1">
      <c r="A422" s="155"/>
      <c r="B422" s="155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55"/>
      <c r="AB422" s="155"/>
      <c r="AC422" s="155"/>
    </row>
    <row r="423" ht="15.75" customHeight="1">
      <c r="A423" s="155"/>
      <c r="B423" s="155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55"/>
      <c r="AB423" s="155"/>
      <c r="AC423" s="155"/>
    </row>
    <row r="424" ht="15.75" customHeight="1">
      <c r="A424" s="155"/>
      <c r="B424" s="155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  <c r="AA424" s="155"/>
      <c r="AB424" s="155"/>
      <c r="AC424" s="155"/>
    </row>
    <row r="425" ht="15.75" customHeight="1">
      <c r="A425" s="155"/>
      <c r="B425" s="155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  <c r="AA425" s="155"/>
      <c r="AB425" s="155"/>
      <c r="AC425" s="155"/>
    </row>
    <row r="426" ht="15.75" customHeight="1">
      <c r="A426" s="155"/>
      <c r="B426" s="155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  <c r="AA426" s="155"/>
      <c r="AB426" s="155"/>
      <c r="AC426" s="155"/>
    </row>
    <row r="427" ht="15.75" customHeight="1">
      <c r="A427" s="155"/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  <c r="AA427" s="155"/>
      <c r="AB427" s="155"/>
      <c r="AC427" s="155"/>
    </row>
    <row r="428" ht="15.75" customHeight="1">
      <c r="A428" s="155"/>
      <c r="B428" s="155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  <c r="AA428" s="155"/>
      <c r="AB428" s="155"/>
      <c r="AC428" s="155"/>
    </row>
    <row r="429" ht="15.75" customHeight="1">
      <c r="A429" s="155"/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55"/>
      <c r="AB429" s="155"/>
      <c r="AC429" s="155"/>
    </row>
    <row r="430" ht="15.75" customHeight="1">
      <c r="A430" s="155"/>
      <c r="B430" s="155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55"/>
      <c r="AB430" s="155"/>
      <c r="AC430" s="155"/>
    </row>
    <row r="431" ht="15.75" customHeight="1">
      <c r="A431" s="155"/>
      <c r="B431" s="155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55"/>
      <c r="AB431" s="155"/>
      <c r="AC431" s="155"/>
    </row>
    <row r="432" ht="15.75" customHeight="1">
      <c r="A432" s="155"/>
      <c r="B432" s="155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55"/>
      <c r="AB432" s="155"/>
      <c r="AC432" s="155"/>
    </row>
    <row r="433" ht="15.75" customHeight="1">
      <c r="A433" s="155"/>
      <c r="B433" s="155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55"/>
      <c r="AB433" s="155"/>
      <c r="AC433" s="155"/>
    </row>
    <row r="434" ht="15.75" customHeight="1">
      <c r="A434" s="155"/>
      <c r="B434" s="155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55"/>
      <c r="AB434" s="155"/>
      <c r="AC434" s="155"/>
    </row>
    <row r="435" ht="15.75" customHeight="1">
      <c r="A435" s="155"/>
      <c r="B435" s="155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  <c r="AA435" s="155"/>
      <c r="AB435" s="155"/>
      <c r="AC435" s="155"/>
    </row>
    <row r="436" ht="15.75" customHeight="1">
      <c r="A436" s="155"/>
      <c r="B436" s="155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55"/>
      <c r="AB436" s="155"/>
      <c r="AC436" s="155"/>
    </row>
    <row r="437" ht="15.75" customHeight="1">
      <c r="A437" s="155"/>
      <c r="B437" s="155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  <c r="AA437" s="155"/>
      <c r="AB437" s="155"/>
      <c r="AC437" s="155"/>
    </row>
    <row r="438" ht="15.75" customHeight="1">
      <c r="A438" s="155"/>
      <c r="B438" s="155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55"/>
      <c r="AB438" s="155"/>
      <c r="AC438" s="155"/>
    </row>
    <row r="439" ht="15.75" customHeight="1">
      <c r="A439" s="155"/>
      <c r="B439" s="155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  <c r="AC439" s="155"/>
    </row>
    <row r="440" ht="15.75" customHeight="1">
      <c r="A440" s="155"/>
      <c r="B440" s="155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55"/>
      <c r="AB440" s="155"/>
      <c r="AC440" s="155"/>
    </row>
    <row r="441" ht="15.75" customHeight="1">
      <c r="A441" s="155"/>
      <c r="B441" s="155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55"/>
      <c r="AB441" s="155"/>
      <c r="AC441" s="155"/>
    </row>
    <row r="442" ht="15.75" customHeight="1">
      <c r="A442" s="155"/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55"/>
      <c r="AB442" s="155"/>
      <c r="AC442" s="155"/>
    </row>
    <row r="443" ht="15.75" customHeight="1">
      <c r="A443" s="155"/>
      <c r="B443" s="155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  <c r="AC443" s="155"/>
    </row>
    <row r="444" ht="15.75" customHeight="1">
      <c r="A444" s="155"/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</row>
    <row r="445" ht="15.75" customHeight="1">
      <c r="A445" s="155"/>
      <c r="B445" s="155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</row>
    <row r="446" ht="15.75" customHeight="1">
      <c r="A446" s="155"/>
      <c r="B446" s="155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  <c r="AA446" s="155"/>
      <c r="AB446" s="155"/>
      <c r="AC446" s="155"/>
    </row>
    <row r="447" ht="15.75" customHeight="1">
      <c r="A447" s="155"/>
      <c r="B447" s="155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  <c r="AA447" s="155"/>
      <c r="AB447" s="155"/>
      <c r="AC447" s="155"/>
    </row>
    <row r="448" ht="15.75" customHeight="1">
      <c r="A448" s="155"/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</row>
    <row r="449" ht="15.75" customHeight="1">
      <c r="A449" s="155"/>
      <c r="B449" s="155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55"/>
      <c r="AB449" s="155"/>
      <c r="AC449" s="155"/>
    </row>
    <row r="450" ht="15.75" customHeight="1">
      <c r="A450" s="155"/>
      <c r="B450" s="155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  <c r="AC450" s="155"/>
    </row>
    <row r="451" ht="15.75" customHeight="1">
      <c r="A451" s="155"/>
      <c r="B451" s="155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</row>
    <row r="452" ht="15.75" customHeight="1">
      <c r="A452" s="155"/>
      <c r="B452" s="155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55"/>
      <c r="AB452" s="155"/>
      <c r="AC452" s="155"/>
    </row>
    <row r="453" ht="15.75" customHeight="1">
      <c r="A453" s="155"/>
      <c r="B453" s="155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55"/>
      <c r="AB453" s="155"/>
      <c r="AC453" s="155"/>
    </row>
    <row r="454" ht="15.75" customHeight="1">
      <c r="A454" s="155"/>
      <c r="B454" s="155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  <c r="AA454" s="155"/>
      <c r="AB454" s="155"/>
      <c r="AC454" s="155"/>
    </row>
    <row r="455" ht="15.75" customHeight="1">
      <c r="A455" s="155"/>
      <c r="B455" s="155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  <c r="AA455" s="155"/>
      <c r="AB455" s="155"/>
      <c r="AC455" s="155"/>
    </row>
    <row r="456" ht="15.75" customHeight="1">
      <c r="A456" s="155"/>
      <c r="B456" s="155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  <c r="AA456" s="155"/>
      <c r="AB456" s="155"/>
      <c r="AC456" s="155"/>
    </row>
    <row r="457" ht="15.75" customHeight="1">
      <c r="A457" s="155"/>
      <c r="B457" s="155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  <c r="AA457" s="155"/>
      <c r="AB457" s="155"/>
      <c r="AC457" s="155"/>
    </row>
    <row r="458" ht="15.75" customHeight="1">
      <c r="A458" s="155"/>
      <c r="B458" s="155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</row>
    <row r="459" ht="15.75" customHeight="1">
      <c r="A459" s="155"/>
      <c r="B459" s="155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  <c r="AC459" s="155"/>
    </row>
    <row r="460" ht="15.75" customHeight="1">
      <c r="A460" s="155"/>
      <c r="B460" s="155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  <c r="AC460" s="155"/>
    </row>
    <row r="461" ht="15.75" customHeight="1">
      <c r="A461" s="155"/>
      <c r="B461" s="155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55"/>
      <c r="AB461" s="155"/>
      <c r="AC461" s="155"/>
    </row>
    <row r="462" ht="15.75" customHeight="1">
      <c r="A462" s="155"/>
      <c r="B462" s="155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  <c r="AA462" s="155"/>
      <c r="AB462" s="155"/>
      <c r="AC462" s="155"/>
    </row>
    <row r="463" ht="15.75" customHeight="1">
      <c r="A463" s="155"/>
      <c r="B463" s="155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55"/>
      <c r="AB463" s="155"/>
      <c r="AC463" s="155"/>
    </row>
    <row r="464" ht="15.75" customHeight="1">
      <c r="A464" s="155"/>
      <c r="B464" s="155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55"/>
      <c r="AB464" s="155"/>
      <c r="AC464" s="155"/>
    </row>
    <row r="465" ht="15.75" customHeight="1">
      <c r="A465" s="155"/>
      <c r="B465" s="155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  <c r="AA465" s="155"/>
      <c r="AB465" s="155"/>
      <c r="AC465" s="155"/>
    </row>
    <row r="466" ht="15.75" customHeight="1">
      <c r="A466" s="155"/>
      <c r="B466" s="155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55"/>
      <c r="AB466" s="155"/>
      <c r="AC466" s="155"/>
    </row>
    <row r="467" ht="15.75" customHeight="1">
      <c r="A467" s="155"/>
      <c r="B467" s="155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</row>
    <row r="468" ht="15.75" customHeight="1">
      <c r="A468" s="155"/>
      <c r="B468" s="155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  <c r="AA468" s="155"/>
      <c r="AB468" s="155"/>
      <c r="AC468" s="155"/>
    </row>
    <row r="469" ht="15.75" customHeight="1">
      <c r="A469" s="155"/>
      <c r="B469" s="155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  <c r="AA469" s="155"/>
      <c r="AB469" s="155"/>
      <c r="AC469" s="155"/>
    </row>
    <row r="470" ht="15.75" customHeight="1">
      <c r="A470" s="155"/>
      <c r="B470" s="155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  <c r="AA470" s="155"/>
      <c r="AB470" s="155"/>
      <c r="AC470" s="155"/>
    </row>
    <row r="471" ht="15.75" customHeight="1">
      <c r="A471" s="155"/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  <c r="AA471" s="155"/>
      <c r="AB471" s="155"/>
      <c r="AC471" s="155"/>
    </row>
    <row r="472" ht="15.75" customHeight="1">
      <c r="A472" s="155"/>
      <c r="B472" s="155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  <c r="AC472" s="155"/>
    </row>
    <row r="473" ht="15.75" customHeight="1">
      <c r="A473" s="155"/>
      <c r="B473" s="155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  <c r="AA473" s="155"/>
      <c r="AB473" s="155"/>
      <c r="AC473" s="155"/>
    </row>
    <row r="474" ht="15.75" customHeight="1">
      <c r="A474" s="155"/>
      <c r="B474" s="155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  <c r="AA474" s="155"/>
      <c r="AB474" s="155"/>
      <c r="AC474" s="155"/>
    </row>
    <row r="475" ht="15.75" customHeight="1">
      <c r="A475" s="155"/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  <c r="AA475" s="155"/>
      <c r="AB475" s="155"/>
      <c r="AC475" s="155"/>
    </row>
    <row r="476" ht="15.75" customHeight="1">
      <c r="A476" s="155"/>
      <c r="B476" s="155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  <c r="AA476" s="155"/>
      <c r="AB476" s="155"/>
      <c r="AC476" s="155"/>
    </row>
    <row r="477" ht="15.75" customHeight="1">
      <c r="A477" s="155"/>
      <c r="B477" s="155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  <c r="AA477" s="155"/>
      <c r="AB477" s="155"/>
      <c r="AC477" s="155"/>
    </row>
    <row r="478" ht="15.75" customHeight="1">
      <c r="A478" s="155"/>
      <c r="B478" s="155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  <c r="AA478" s="155"/>
      <c r="AB478" s="155"/>
      <c r="AC478" s="155"/>
    </row>
    <row r="479" ht="15.75" customHeight="1">
      <c r="A479" s="155"/>
      <c r="B479" s="155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  <c r="AC479" s="155"/>
    </row>
    <row r="480" ht="15.75" customHeight="1">
      <c r="A480" s="155"/>
      <c r="B480" s="155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  <c r="AA480" s="155"/>
      <c r="AB480" s="155"/>
      <c r="AC480" s="155"/>
    </row>
    <row r="481" ht="15.75" customHeight="1">
      <c r="A481" s="155"/>
      <c r="B481" s="155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  <c r="AA481" s="155"/>
      <c r="AB481" s="155"/>
      <c r="AC481" s="155"/>
    </row>
    <row r="482" ht="15.75" customHeight="1">
      <c r="A482" s="155"/>
      <c r="B482" s="155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</row>
    <row r="483" ht="15.75" customHeight="1">
      <c r="A483" s="155"/>
      <c r="B483" s="155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  <c r="AA483" s="155"/>
      <c r="AB483" s="155"/>
      <c r="AC483" s="155"/>
    </row>
    <row r="484" ht="15.75" customHeight="1">
      <c r="A484" s="155"/>
      <c r="B484" s="155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  <c r="AA484" s="155"/>
      <c r="AB484" s="155"/>
      <c r="AC484" s="155"/>
    </row>
    <row r="485" ht="15.75" customHeight="1">
      <c r="A485" s="155"/>
      <c r="B485" s="155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</row>
    <row r="486" ht="15.75" customHeight="1">
      <c r="A486" s="155"/>
      <c r="B486" s="155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  <c r="AA486" s="155"/>
      <c r="AB486" s="155"/>
      <c r="AC486" s="155"/>
    </row>
    <row r="487" ht="15.75" customHeight="1">
      <c r="A487" s="155"/>
      <c r="B487" s="155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</row>
    <row r="488" ht="15.75" customHeight="1">
      <c r="A488" s="155"/>
      <c r="B488" s="155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  <c r="AC488" s="155"/>
    </row>
    <row r="489" ht="15.75" customHeight="1">
      <c r="A489" s="155"/>
      <c r="B489" s="155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  <c r="AC489" s="155"/>
    </row>
    <row r="490" ht="15.75" customHeight="1">
      <c r="A490" s="155"/>
      <c r="B490" s="155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  <c r="AC490" s="155"/>
    </row>
    <row r="491" ht="15.75" customHeight="1">
      <c r="A491" s="155"/>
      <c r="B491" s="155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  <c r="AC491" s="155"/>
    </row>
    <row r="492" ht="15.75" customHeight="1">
      <c r="A492" s="155"/>
      <c r="B492" s="155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  <c r="AC492" s="155"/>
    </row>
    <row r="493" ht="15.75" customHeight="1">
      <c r="A493" s="155"/>
      <c r="B493" s="155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  <c r="AA493" s="155"/>
      <c r="AB493" s="155"/>
      <c r="AC493" s="155"/>
    </row>
    <row r="494" ht="15.75" customHeight="1">
      <c r="A494" s="155"/>
      <c r="B494" s="155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  <c r="AA494" s="155"/>
      <c r="AB494" s="155"/>
      <c r="AC494" s="155"/>
    </row>
    <row r="495" ht="15.75" customHeight="1">
      <c r="A495" s="155"/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  <c r="AA495" s="155"/>
      <c r="AB495" s="155"/>
      <c r="AC495" s="155"/>
    </row>
    <row r="496" ht="15.75" customHeight="1">
      <c r="A496" s="155"/>
      <c r="B496" s="155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  <c r="AA496" s="155"/>
      <c r="AB496" s="155"/>
      <c r="AC496" s="155"/>
    </row>
    <row r="497" ht="15.75" customHeight="1">
      <c r="A497" s="155"/>
      <c r="B497" s="155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  <c r="AC497" s="155"/>
    </row>
    <row r="498" ht="15.75" customHeight="1">
      <c r="A498" s="155"/>
      <c r="B498" s="155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  <c r="AC498" s="155"/>
    </row>
    <row r="499" ht="15.75" customHeight="1">
      <c r="A499" s="155"/>
      <c r="B499" s="155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  <c r="AC499" s="155"/>
    </row>
    <row r="500" ht="15.75" customHeight="1">
      <c r="A500" s="155"/>
      <c r="B500" s="155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  <c r="AC500" s="155"/>
    </row>
    <row r="501" ht="15.75" customHeight="1">
      <c r="A501" s="155"/>
      <c r="B501" s="155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  <c r="AC501" s="155"/>
    </row>
    <row r="502" ht="15.75" customHeight="1">
      <c r="A502" s="155"/>
      <c r="B502" s="155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  <c r="AC502" s="155"/>
    </row>
    <row r="503" ht="15.75" customHeight="1">
      <c r="A503" s="155"/>
      <c r="B503" s="155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  <c r="AC503" s="155"/>
    </row>
    <row r="504" ht="15.75" customHeight="1">
      <c r="A504" s="155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  <c r="AC504" s="155"/>
    </row>
    <row r="505" ht="15.75" customHeight="1">
      <c r="A505" s="155"/>
      <c r="B505" s="155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  <c r="AC505" s="155"/>
    </row>
    <row r="506" ht="15.75" customHeight="1">
      <c r="A506" s="155"/>
      <c r="B506" s="155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  <c r="AC506" s="155"/>
    </row>
    <row r="507" ht="15.75" customHeight="1">
      <c r="A507" s="155"/>
      <c r="B507" s="155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  <c r="AC507" s="155"/>
    </row>
    <row r="508" ht="15.75" customHeight="1">
      <c r="A508" s="155"/>
      <c r="B508" s="155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  <c r="AC508" s="155"/>
    </row>
    <row r="509" ht="15.75" customHeight="1">
      <c r="A509" s="155"/>
      <c r="B509" s="155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  <c r="AC509" s="155"/>
    </row>
    <row r="510" ht="15.75" customHeight="1">
      <c r="A510" s="155"/>
      <c r="B510" s="155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  <c r="AC510" s="155"/>
    </row>
    <row r="511" ht="15.75" customHeight="1">
      <c r="A511" s="155"/>
      <c r="B511" s="155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  <c r="AC511" s="155"/>
    </row>
    <row r="512" ht="15.75" customHeight="1">
      <c r="A512" s="155"/>
      <c r="B512" s="155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  <c r="AC512" s="155"/>
    </row>
    <row r="513" ht="15.75" customHeight="1">
      <c r="A513" s="155"/>
      <c r="B513" s="155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  <c r="AC513" s="155"/>
    </row>
    <row r="514" ht="15.75" customHeight="1">
      <c r="A514" s="155"/>
      <c r="B514" s="155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  <c r="AC514" s="155"/>
    </row>
    <row r="515" ht="15.75" customHeight="1">
      <c r="A515" s="155"/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</row>
    <row r="516" ht="15.75" customHeight="1">
      <c r="A516" s="155"/>
      <c r="B516" s="155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  <c r="AC516" s="155"/>
    </row>
    <row r="517" ht="15.75" customHeight="1">
      <c r="A517" s="155"/>
      <c r="B517" s="155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</row>
    <row r="518" ht="15.75" customHeight="1">
      <c r="A518" s="155"/>
      <c r="B518" s="155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  <c r="AC518" s="155"/>
    </row>
    <row r="519" ht="15.75" customHeight="1">
      <c r="A519" s="155"/>
      <c r="B519" s="155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  <c r="AC519" s="155"/>
    </row>
    <row r="520" ht="15.75" customHeight="1">
      <c r="A520" s="155"/>
      <c r="B520" s="155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  <c r="AC520" s="155"/>
    </row>
    <row r="521" ht="15.75" customHeight="1">
      <c r="A521" s="155"/>
      <c r="B521" s="155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  <c r="AC521" s="155"/>
    </row>
    <row r="522" ht="15.75" customHeight="1">
      <c r="A522" s="155"/>
      <c r="B522" s="155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  <c r="AC522" s="155"/>
    </row>
    <row r="523" ht="15.75" customHeight="1">
      <c r="A523" s="155"/>
      <c r="B523" s="155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  <c r="AC523" s="155"/>
    </row>
    <row r="524" ht="15.75" customHeight="1">
      <c r="A524" s="155"/>
      <c r="B524" s="155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  <c r="AC524" s="155"/>
    </row>
    <row r="525" ht="15.75" customHeight="1">
      <c r="A525" s="155"/>
      <c r="B525" s="155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  <c r="AC525" s="155"/>
    </row>
    <row r="526" ht="15.75" customHeight="1">
      <c r="A526" s="155"/>
      <c r="B526" s="155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  <c r="AC526" s="155"/>
    </row>
    <row r="527" ht="15.75" customHeight="1">
      <c r="A527" s="155"/>
      <c r="B527" s="155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  <c r="AC527" s="155"/>
    </row>
    <row r="528" ht="15.75" customHeight="1">
      <c r="A528" s="155"/>
      <c r="B528" s="155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  <c r="AA528" s="155"/>
      <c r="AB528" s="155"/>
      <c r="AC528" s="155"/>
    </row>
    <row r="529" ht="15.75" customHeight="1">
      <c r="A529" s="155"/>
      <c r="B529" s="155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  <c r="AC529" s="155"/>
    </row>
    <row r="530" ht="15.75" customHeight="1">
      <c r="A530" s="155"/>
      <c r="B530" s="155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</row>
    <row r="531" ht="15.75" customHeight="1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</row>
    <row r="532" ht="15.75" customHeight="1">
      <c r="A532" s="155"/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</row>
    <row r="533" ht="15.75" customHeight="1">
      <c r="A533" s="155"/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  <c r="AC533" s="155"/>
    </row>
    <row r="534" ht="15.75" customHeight="1">
      <c r="A534" s="155"/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  <c r="AC534" s="155"/>
    </row>
    <row r="535" ht="15.75" customHeight="1">
      <c r="A535" s="155"/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  <c r="AC535" s="155"/>
    </row>
    <row r="536" ht="15.75" customHeight="1">
      <c r="A536" s="155"/>
      <c r="B536" s="155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  <c r="AC536" s="155"/>
    </row>
    <row r="537" ht="15.75" customHeight="1">
      <c r="A537" s="155"/>
      <c r="B537" s="155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  <c r="AC537" s="155"/>
    </row>
    <row r="538" ht="15.75" customHeight="1">
      <c r="A538" s="155"/>
      <c r="B538" s="155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</row>
    <row r="539" ht="15.75" customHeight="1">
      <c r="A539" s="155"/>
      <c r="B539" s="155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</row>
    <row r="540" ht="15.75" customHeight="1">
      <c r="A540" s="155"/>
      <c r="B540" s="155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</row>
    <row r="541" ht="15.75" customHeight="1">
      <c r="A541" s="155"/>
      <c r="B541" s="155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</row>
    <row r="542" ht="15.75" customHeight="1">
      <c r="A542" s="155"/>
      <c r="B542" s="155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</row>
    <row r="543" ht="15.75" customHeight="1">
      <c r="A543" s="155"/>
      <c r="B543" s="155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  <c r="AA543" s="155"/>
      <c r="AB543" s="155"/>
      <c r="AC543" s="155"/>
    </row>
    <row r="544" ht="15.75" customHeight="1">
      <c r="A544" s="155"/>
      <c r="B544" s="155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  <c r="AC544" s="155"/>
    </row>
    <row r="545" ht="15.75" customHeight="1">
      <c r="A545" s="155"/>
      <c r="B545" s="155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  <c r="AC545" s="155"/>
    </row>
    <row r="546" ht="15.75" customHeight="1">
      <c r="A546" s="155"/>
      <c r="B546" s="155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</row>
    <row r="547" ht="15.75" customHeight="1">
      <c r="A547" s="155"/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  <c r="AC547" s="155"/>
    </row>
    <row r="548" ht="15.75" customHeight="1">
      <c r="A548" s="155"/>
      <c r="B548" s="155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  <c r="AC548" s="155"/>
    </row>
    <row r="549" ht="15.75" customHeight="1">
      <c r="A549" s="155"/>
      <c r="B549" s="155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  <c r="AC549" s="155"/>
    </row>
    <row r="550" ht="15.75" customHeight="1">
      <c r="A550" s="155"/>
      <c r="B550" s="155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  <c r="AC550" s="155"/>
    </row>
    <row r="551" ht="15.75" customHeight="1">
      <c r="A551" s="155"/>
      <c r="B551" s="155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  <c r="AC551" s="155"/>
    </row>
    <row r="552" ht="15.75" customHeight="1">
      <c r="A552" s="155"/>
      <c r="B552" s="155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  <c r="AC552" s="155"/>
    </row>
    <row r="553" ht="15.75" customHeight="1">
      <c r="A553" s="155"/>
      <c r="B553" s="155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  <c r="AC553" s="155"/>
    </row>
    <row r="554" ht="15.75" customHeight="1">
      <c r="A554" s="155"/>
      <c r="B554" s="155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  <c r="AC554" s="155"/>
    </row>
    <row r="555" ht="15.75" customHeight="1">
      <c r="A555" s="155"/>
      <c r="B555" s="155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</row>
    <row r="556" ht="15.75" customHeight="1">
      <c r="A556" s="155"/>
      <c r="B556" s="155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</row>
    <row r="557" ht="15.75" customHeight="1">
      <c r="A557" s="155"/>
      <c r="B557" s="155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</row>
    <row r="558" ht="15.75" customHeight="1">
      <c r="A558" s="155"/>
      <c r="B558" s="155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</row>
    <row r="559" ht="15.75" customHeight="1">
      <c r="A559" s="155"/>
      <c r="B559" s="155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  <c r="AA559" s="155"/>
      <c r="AB559" s="155"/>
      <c r="AC559" s="155"/>
    </row>
    <row r="560" ht="15.75" customHeight="1">
      <c r="A560" s="155"/>
      <c r="B560" s="155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  <c r="AA560" s="155"/>
      <c r="AB560" s="155"/>
      <c r="AC560" s="155"/>
    </row>
    <row r="561" ht="15.75" customHeight="1">
      <c r="A561" s="155"/>
      <c r="B561" s="155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  <c r="AA561" s="155"/>
      <c r="AB561" s="155"/>
      <c r="AC561" s="155"/>
    </row>
    <row r="562" ht="15.75" customHeight="1">
      <c r="A562" s="155"/>
      <c r="B562" s="155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  <c r="AC562" s="155"/>
    </row>
    <row r="563" ht="15.75" customHeight="1">
      <c r="A563" s="155"/>
      <c r="B563" s="155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  <c r="AC563" s="155"/>
    </row>
    <row r="564" ht="15.75" customHeight="1">
      <c r="A564" s="155"/>
      <c r="B564" s="155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  <c r="AA564" s="155"/>
      <c r="AB564" s="155"/>
      <c r="AC564" s="155"/>
    </row>
    <row r="565" ht="15.75" customHeight="1">
      <c r="A565" s="155"/>
      <c r="B565" s="155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  <c r="AC565" s="155"/>
    </row>
    <row r="566" ht="15.75" customHeight="1">
      <c r="A566" s="155"/>
      <c r="B566" s="155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  <c r="AC566" s="155"/>
    </row>
    <row r="567" ht="15.75" customHeight="1">
      <c r="A567" s="155"/>
      <c r="B567" s="155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  <c r="AC567" s="155"/>
    </row>
    <row r="568" ht="15.75" customHeight="1">
      <c r="A568" s="155"/>
      <c r="B568" s="155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  <c r="AC568" s="155"/>
    </row>
    <row r="569" ht="15.75" customHeight="1">
      <c r="A569" s="155"/>
      <c r="B569" s="155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  <c r="AC569" s="155"/>
    </row>
    <row r="570" ht="15.75" customHeight="1">
      <c r="A570" s="155"/>
      <c r="B570" s="155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  <c r="AC570" s="155"/>
    </row>
    <row r="571" ht="15.75" customHeight="1">
      <c r="A571" s="155"/>
      <c r="B571" s="155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  <c r="AC571" s="155"/>
    </row>
    <row r="572" ht="15.75" customHeight="1">
      <c r="A572" s="155"/>
      <c r="B572" s="155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  <c r="AC572" s="155"/>
    </row>
    <row r="573" ht="15.75" customHeight="1">
      <c r="A573" s="155"/>
      <c r="B573" s="155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  <c r="AC573" s="155"/>
    </row>
    <row r="574" ht="15.75" customHeight="1">
      <c r="A574" s="155"/>
      <c r="B574" s="155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  <c r="AA574" s="155"/>
      <c r="AB574" s="155"/>
      <c r="AC574" s="155"/>
    </row>
    <row r="575" ht="15.75" customHeight="1">
      <c r="A575" s="155"/>
      <c r="B575" s="155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  <c r="AC575" s="155"/>
    </row>
    <row r="576" ht="15.75" customHeight="1">
      <c r="A576" s="155"/>
      <c r="B576" s="155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  <c r="AC576" s="155"/>
    </row>
    <row r="577" ht="15.75" customHeight="1">
      <c r="A577" s="155"/>
      <c r="B577" s="155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  <c r="AC577" s="155"/>
    </row>
    <row r="578" ht="15.75" customHeight="1">
      <c r="A578" s="155"/>
      <c r="B578" s="155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  <c r="AC578" s="155"/>
    </row>
    <row r="579" ht="15.75" customHeight="1">
      <c r="A579" s="155"/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</row>
    <row r="580" ht="15.75" customHeight="1">
      <c r="A580" s="155"/>
      <c r="B580" s="155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  <c r="AC580" s="155"/>
    </row>
    <row r="581" ht="15.75" customHeight="1">
      <c r="A581" s="155"/>
      <c r="B581" s="155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  <c r="AC581" s="155"/>
    </row>
    <row r="582" ht="15.75" customHeight="1">
      <c r="A582" s="155"/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</row>
    <row r="583" ht="15.75" customHeight="1">
      <c r="A583" s="155"/>
      <c r="B583" s="155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  <c r="AC583" s="155"/>
    </row>
    <row r="584" ht="15.75" customHeight="1">
      <c r="A584" s="155"/>
      <c r="B584" s="155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  <c r="AC584" s="155"/>
    </row>
    <row r="585" ht="15.75" customHeight="1">
      <c r="A585" s="155"/>
      <c r="B585" s="155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  <c r="AC585" s="155"/>
    </row>
    <row r="586" ht="15.75" customHeight="1">
      <c r="A586" s="155"/>
      <c r="B586" s="155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  <c r="AC586" s="155"/>
    </row>
    <row r="587" ht="15.75" customHeight="1">
      <c r="A587" s="155"/>
      <c r="B587" s="155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  <c r="AC587" s="155"/>
    </row>
    <row r="588" ht="15.75" customHeight="1">
      <c r="A588" s="155"/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  <c r="AC588" s="155"/>
    </row>
    <row r="589" ht="15.75" customHeight="1">
      <c r="A589" s="155"/>
      <c r="B589" s="155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  <c r="AC589" s="155"/>
    </row>
    <row r="590" ht="15.75" customHeight="1">
      <c r="A590" s="155"/>
      <c r="B590" s="155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  <c r="AC590" s="155"/>
    </row>
    <row r="591" ht="15.75" customHeight="1">
      <c r="A591" s="155"/>
      <c r="B591" s="155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  <c r="AC591" s="155"/>
    </row>
    <row r="592" ht="15.75" customHeight="1">
      <c r="A592" s="155"/>
      <c r="B592" s="155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  <c r="AC592" s="155"/>
    </row>
    <row r="593" ht="15.75" customHeight="1">
      <c r="A593" s="155"/>
      <c r="B593" s="155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  <c r="AC593" s="155"/>
    </row>
    <row r="594" ht="15.75" customHeight="1">
      <c r="A594" s="155"/>
      <c r="B594" s="155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  <c r="AC594" s="155"/>
    </row>
    <row r="595" ht="15.75" customHeight="1">
      <c r="A595" s="155"/>
      <c r="B595" s="155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  <c r="AC595" s="155"/>
    </row>
    <row r="596" ht="15.75" customHeight="1">
      <c r="A596" s="155"/>
      <c r="B596" s="155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  <c r="AC596" s="155"/>
    </row>
    <row r="597" ht="15.75" customHeight="1">
      <c r="A597" s="155"/>
      <c r="B597" s="155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  <c r="AC597" s="155"/>
    </row>
    <row r="598" ht="15.75" customHeight="1">
      <c r="A598" s="155"/>
      <c r="B598" s="155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  <c r="AC598" s="155"/>
    </row>
    <row r="599" ht="15.75" customHeight="1">
      <c r="A599" s="155"/>
      <c r="B599" s="155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  <c r="AC599" s="155"/>
    </row>
    <row r="600" ht="15.75" customHeight="1">
      <c r="A600" s="155"/>
      <c r="B600" s="155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  <c r="AC600" s="155"/>
    </row>
    <row r="601" ht="15.75" customHeight="1">
      <c r="A601" s="155"/>
      <c r="B601" s="155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  <c r="AC601" s="155"/>
    </row>
    <row r="602" ht="15.75" customHeight="1">
      <c r="A602" s="155"/>
      <c r="B602" s="155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  <c r="AC602" s="155"/>
    </row>
    <row r="603" ht="15.75" customHeight="1">
      <c r="A603" s="155"/>
      <c r="B603" s="155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  <c r="AC603" s="155"/>
    </row>
    <row r="604" ht="15.75" customHeight="1">
      <c r="A604" s="155"/>
      <c r="B604" s="155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  <c r="AC604" s="155"/>
    </row>
    <row r="605" ht="15.75" customHeight="1">
      <c r="A605" s="155"/>
      <c r="B605" s="155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  <c r="AC605" s="155"/>
    </row>
    <row r="606" ht="15.75" customHeight="1">
      <c r="A606" s="155"/>
      <c r="B606" s="155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  <c r="AA606" s="155"/>
      <c r="AB606" s="155"/>
      <c r="AC606" s="155"/>
    </row>
    <row r="607" ht="15.75" customHeight="1">
      <c r="A607" s="155"/>
      <c r="B607" s="155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  <c r="AC607" s="155"/>
    </row>
    <row r="608" ht="15.75" customHeight="1">
      <c r="A608" s="155"/>
      <c r="B608" s="155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  <c r="AC608" s="155"/>
    </row>
    <row r="609" ht="15.75" customHeight="1">
      <c r="A609" s="155"/>
      <c r="B609" s="155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  <c r="AC609" s="155"/>
    </row>
    <row r="610" ht="15.75" customHeight="1">
      <c r="A610" s="155"/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</row>
    <row r="611" ht="15.75" customHeight="1">
      <c r="A611" s="155"/>
      <c r="B611" s="155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  <c r="AC611" s="155"/>
    </row>
    <row r="612" ht="15.75" customHeight="1">
      <c r="A612" s="155"/>
      <c r="B612" s="155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  <c r="AC612" s="155"/>
    </row>
    <row r="613" ht="15.75" customHeight="1">
      <c r="A613" s="155"/>
      <c r="B613" s="155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  <c r="AC613" s="155"/>
    </row>
    <row r="614" ht="15.75" customHeight="1">
      <c r="A614" s="155"/>
      <c r="B614" s="155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  <c r="AC614" s="155"/>
    </row>
    <row r="615" ht="15.75" customHeight="1">
      <c r="A615" s="155"/>
      <c r="B615" s="155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  <c r="AA615" s="155"/>
      <c r="AB615" s="155"/>
      <c r="AC615" s="155"/>
    </row>
    <row r="616" ht="15.75" customHeight="1">
      <c r="A616" s="155"/>
      <c r="B616" s="155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  <c r="AC616" s="155"/>
    </row>
    <row r="617" ht="15.75" customHeight="1">
      <c r="A617" s="155"/>
      <c r="B617" s="155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  <c r="AA617" s="155"/>
      <c r="AB617" s="155"/>
      <c r="AC617" s="155"/>
    </row>
    <row r="618" ht="15.75" customHeight="1">
      <c r="A618" s="155"/>
      <c r="B618" s="155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  <c r="AA618" s="155"/>
      <c r="AB618" s="155"/>
      <c r="AC618" s="155"/>
    </row>
    <row r="619" ht="15.75" customHeight="1">
      <c r="A619" s="155"/>
      <c r="B619" s="155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  <c r="AA619" s="155"/>
      <c r="AB619" s="155"/>
      <c r="AC619" s="155"/>
    </row>
    <row r="620" ht="15.75" customHeight="1">
      <c r="A620" s="155"/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  <c r="AC620" s="155"/>
    </row>
    <row r="621" ht="15.75" customHeight="1">
      <c r="A621" s="155"/>
      <c r="B621" s="155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  <c r="AC621" s="155"/>
    </row>
    <row r="622" ht="15.75" customHeight="1">
      <c r="A622" s="155"/>
      <c r="B622" s="155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  <c r="AA622" s="155"/>
      <c r="AB622" s="155"/>
      <c r="AC622" s="155"/>
    </row>
    <row r="623" ht="15.75" customHeight="1">
      <c r="A623" s="155"/>
      <c r="B623" s="155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  <c r="AC623" s="155"/>
    </row>
    <row r="624" ht="15.75" customHeight="1">
      <c r="A624" s="155"/>
      <c r="B624" s="155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  <c r="AC624" s="155"/>
    </row>
    <row r="625" ht="15.75" customHeight="1">
      <c r="A625" s="155"/>
      <c r="B625" s="155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  <c r="AC625" s="155"/>
    </row>
    <row r="626" ht="15.75" customHeight="1">
      <c r="A626" s="155"/>
      <c r="B626" s="155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  <c r="AC626" s="155"/>
    </row>
    <row r="627" ht="15.75" customHeight="1">
      <c r="A627" s="155"/>
      <c r="B627" s="155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  <c r="AA627" s="155"/>
      <c r="AB627" s="155"/>
      <c r="AC627" s="155"/>
    </row>
    <row r="628" ht="15.75" customHeight="1">
      <c r="A628" s="155"/>
      <c r="B628" s="155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  <c r="AA628" s="155"/>
      <c r="AB628" s="155"/>
      <c r="AC628" s="155"/>
    </row>
    <row r="629" ht="15.75" customHeight="1">
      <c r="A629" s="155"/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  <c r="AC629" s="155"/>
    </row>
    <row r="630" ht="15.75" customHeight="1">
      <c r="A630" s="155"/>
      <c r="B630" s="155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  <c r="AA630" s="155"/>
      <c r="AB630" s="155"/>
      <c r="AC630" s="155"/>
    </row>
    <row r="631" ht="15.75" customHeight="1">
      <c r="A631" s="155"/>
      <c r="B631" s="155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  <c r="AC631" s="155"/>
    </row>
    <row r="632" ht="15.75" customHeight="1">
      <c r="A632" s="155"/>
      <c r="B632" s="155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  <c r="AA632" s="155"/>
      <c r="AB632" s="155"/>
      <c r="AC632" s="155"/>
    </row>
    <row r="633" ht="15.75" customHeight="1">
      <c r="A633" s="155"/>
      <c r="B633" s="155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  <c r="AC633" s="155"/>
    </row>
    <row r="634" ht="15.75" customHeight="1">
      <c r="A634" s="155"/>
      <c r="B634" s="155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  <c r="AA634" s="155"/>
      <c r="AB634" s="155"/>
      <c r="AC634" s="155"/>
    </row>
    <row r="635" ht="15.75" customHeight="1">
      <c r="A635" s="155"/>
      <c r="B635" s="155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  <c r="AC635" s="155"/>
    </row>
    <row r="636" ht="15.75" customHeight="1">
      <c r="A636" s="155"/>
      <c r="B636" s="155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  <c r="AC636" s="155"/>
    </row>
    <row r="637" ht="15.75" customHeight="1">
      <c r="A637" s="155"/>
      <c r="B637" s="155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  <c r="AC637" s="155"/>
    </row>
    <row r="638" ht="15.75" customHeight="1">
      <c r="A638" s="155"/>
      <c r="B638" s="155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  <c r="AA638" s="155"/>
      <c r="AB638" s="155"/>
      <c r="AC638" s="155"/>
    </row>
    <row r="639" ht="15.75" customHeight="1">
      <c r="A639" s="155"/>
      <c r="B639" s="155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  <c r="AC639" s="155"/>
    </row>
    <row r="640" ht="15.75" customHeight="1">
      <c r="A640" s="155"/>
      <c r="B640" s="155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  <c r="AC640" s="155"/>
    </row>
    <row r="641" ht="15.75" customHeight="1">
      <c r="A641" s="155"/>
      <c r="B641" s="155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  <c r="AC641" s="155"/>
    </row>
    <row r="642" ht="15.75" customHeight="1">
      <c r="A642" s="155"/>
      <c r="B642" s="155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  <c r="AA642" s="155"/>
      <c r="AB642" s="155"/>
      <c r="AC642" s="155"/>
    </row>
    <row r="643" ht="15.75" customHeight="1">
      <c r="A643" s="155"/>
      <c r="B643" s="155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</row>
    <row r="644" ht="15.75" customHeight="1">
      <c r="A644" s="155"/>
      <c r="B644" s="155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  <c r="AC644" s="155"/>
    </row>
    <row r="645" ht="15.75" customHeight="1">
      <c r="A645" s="155"/>
      <c r="B645" s="155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  <c r="AC645" s="155"/>
    </row>
    <row r="646" ht="15.75" customHeight="1">
      <c r="A646" s="155"/>
      <c r="B646" s="155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  <c r="AC646" s="155"/>
    </row>
    <row r="647" ht="15.75" customHeight="1">
      <c r="A647" s="155"/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  <c r="AC647" s="155"/>
    </row>
    <row r="648" ht="15.75" customHeight="1">
      <c r="A648" s="155"/>
      <c r="B648" s="155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  <c r="AA648" s="155"/>
      <c r="AB648" s="155"/>
      <c r="AC648" s="155"/>
    </row>
    <row r="649" ht="15.75" customHeight="1">
      <c r="A649" s="155"/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</row>
    <row r="650" ht="15.75" customHeight="1">
      <c r="A650" s="155"/>
      <c r="B650" s="155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  <c r="AA650" s="155"/>
      <c r="AB650" s="155"/>
      <c r="AC650" s="155"/>
    </row>
    <row r="651" ht="15.75" customHeight="1">
      <c r="A651" s="155"/>
      <c r="B651" s="155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  <c r="AA651" s="155"/>
      <c r="AB651" s="155"/>
      <c r="AC651" s="155"/>
    </row>
    <row r="652" ht="15.75" customHeight="1">
      <c r="A652" s="155"/>
      <c r="B652" s="155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  <c r="AA652" s="155"/>
      <c r="AB652" s="155"/>
      <c r="AC652" s="155"/>
    </row>
    <row r="653" ht="15.75" customHeight="1">
      <c r="A653" s="155"/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  <c r="AA653" s="155"/>
      <c r="AB653" s="155"/>
      <c r="AC653" s="155"/>
    </row>
    <row r="654" ht="15.75" customHeight="1">
      <c r="A654" s="155"/>
      <c r="B654" s="155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  <c r="AA654" s="155"/>
      <c r="AB654" s="155"/>
      <c r="AC654" s="155"/>
    </row>
    <row r="655" ht="15.75" customHeight="1">
      <c r="A655" s="155"/>
      <c r="B655" s="155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  <c r="AA655" s="155"/>
      <c r="AB655" s="155"/>
      <c r="AC655" s="155"/>
    </row>
    <row r="656" ht="15.75" customHeight="1">
      <c r="A656" s="155"/>
      <c r="B656" s="155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  <c r="AA656" s="155"/>
      <c r="AB656" s="155"/>
      <c r="AC656" s="155"/>
    </row>
    <row r="657" ht="15.75" customHeight="1">
      <c r="A657" s="155"/>
      <c r="B657" s="155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  <c r="AA657" s="155"/>
      <c r="AB657" s="155"/>
      <c r="AC657" s="155"/>
    </row>
    <row r="658" ht="15.75" customHeight="1">
      <c r="A658" s="155"/>
      <c r="B658" s="155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  <c r="AA658" s="155"/>
      <c r="AB658" s="155"/>
      <c r="AC658" s="155"/>
    </row>
    <row r="659" ht="15.75" customHeight="1">
      <c r="A659" s="155"/>
      <c r="B659" s="155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  <c r="AA659" s="155"/>
      <c r="AB659" s="155"/>
      <c r="AC659" s="155"/>
    </row>
    <row r="660" ht="15.75" customHeight="1">
      <c r="A660" s="155"/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  <c r="AA660" s="155"/>
      <c r="AB660" s="155"/>
      <c r="AC660" s="155"/>
    </row>
    <row r="661" ht="15.75" customHeight="1">
      <c r="A661" s="155"/>
      <c r="B661" s="155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  <c r="AA661" s="155"/>
      <c r="AB661" s="155"/>
      <c r="AC661" s="155"/>
    </row>
    <row r="662" ht="15.75" customHeight="1">
      <c r="A662" s="155"/>
      <c r="B662" s="155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  <c r="AA662" s="155"/>
      <c r="AB662" s="155"/>
      <c r="AC662" s="155"/>
    </row>
    <row r="663" ht="15.75" customHeight="1">
      <c r="A663" s="155"/>
      <c r="B663" s="155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  <c r="AA663" s="155"/>
      <c r="AB663" s="155"/>
      <c r="AC663" s="155"/>
    </row>
    <row r="664" ht="15.75" customHeight="1">
      <c r="A664" s="155"/>
      <c r="B664" s="155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  <c r="AA664" s="155"/>
      <c r="AB664" s="155"/>
      <c r="AC664" s="155"/>
    </row>
    <row r="665" ht="15.75" customHeight="1">
      <c r="A665" s="155"/>
      <c r="B665" s="155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  <c r="AC665" s="155"/>
    </row>
    <row r="666" ht="15.75" customHeight="1">
      <c r="A666" s="155"/>
      <c r="B666" s="155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  <c r="AA666" s="155"/>
      <c r="AB666" s="155"/>
      <c r="AC666" s="155"/>
    </row>
    <row r="667" ht="15.75" customHeight="1">
      <c r="A667" s="155"/>
      <c r="B667" s="155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  <c r="AA667" s="155"/>
      <c r="AB667" s="155"/>
      <c r="AC667" s="155"/>
    </row>
    <row r="668" ht="15.75" customHeight="1">
      <c r="A668" s="155"/>
      <c r="B668" s="155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  <c r="AA668" s="155"/>
      <c r="AB668" s="155"/>
      <c r="AC668" s="155"/>
    </row>
    <row r="669" ht="15.75" customHeight="1">
      <c r="A669" s="155"/>
      <c r="B669" s="155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  <c r="AA669" s="155"/>
      <c r="AB669" s="155"/>
      <c r="AC669" s="155"/>
    </row>
    <row r="670" ht="15.75" customHeight="1">
      <c r="A670" s="155"/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  <c r="AA670" s="155"/>
      <c r="AB670" s="155"/>
      <c r="AC670" s="155"/>
    </row>
    <row r="671" ht="15.75" customHeight="1">
      <c r="A671" s="155"/>
      <c r="B671" s="155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  <c r="AA671" s="155"/>
      <c r="AB671" s="155"/>
      <c r="AC671" s="155"/>
    </row>
    <row r="672" ht="15.75" customHeight="1">
      <c r="A672" s="155"/>
      <c r="B672" s="155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  <c r="AA672" s="155"/>
      <c r="AB672" s="155"/>
      <c r="AC672" s="155"/>
    </row>
    <row r="673" ht="15.75" customHeight="1">
      <c r="A673" s="155"/>
      <c r="B673" s="155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  <c r="AA673" s="155"/>
      <c r="AB673" s="155"/>
      <c r="AC673" s="155"/>
    </row>
    <row r="674" ht="15.75" customHeight="1">
      <c r="A674" s="155"/>
      <c r="B674" s="155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</row>
    <row r="675" ht="15.75" customHeight="1">
      <c r="A675" s="155"/>
      <c r="B675" s="155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  <c r="AA675" s="155"/>
      <c r="AB675" s="155"/>
      <c r="AC675" s="155"/>
    </row>
    <row r="676" ht="15.75" customHeight="1">
      <c r="A676" s="155"/>
      <c r="B676" s="155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  <c r="AA676" s="155"/>
      <c r="AB676" s="155"/>
      <c r="AC676" s="155"/>
    </row>
    <row r="677" ht="15.75" customHeight="1">
      <c r="A677" s="155"/>
      <c r="B677" s="155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  <c r="AA677" s="155"/>
      <c r="AB677" s="155"/>
      <c r="AC677" s="155"/>
    </row>
    <row r="678" ht="15.75" customHeight="1">
      <c r="A678" s="155"/>
      <c r="B678" s="155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  <c r="AA678" s="155"/>
      <c r="AB678" s="155"/>
      <c r="AC678" s="155"/>
    </row>
    <row r="679" ht="15.75" customHeight="1">
      <c r="A679" s="155"/>
      <c r="B679" s="155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  <c r="AA679" s="155"/>
      <c r="AB679" s="155"/>
      <c r="AC679" s="155"/>
    </row>
    <row r="680" ht="15.75" customHeight="1">
      <c r="A680" s="155"/>
      <c r="B680" s="155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  <c r="AA680" s="155"/>
      <c r="AB680" s="155"/>
      <c r="AC680" s="155"/>
    </row>
    <row r="681" ht="15.75" customHeight="1">
      <c r="A681" s="155"/>
      <c r="B681" s="155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  <c r="AA681" s="155"/>
      <c r="AB681" s="155"/>
      <c r="AC681" s="155"/>
    </row>
    <row r="682" ht="15.75" customHeight="1">
      <c r="A682" s="155"/>
      <c r="B682" s="155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  <c r="AA682" s="155"/>
      <c r="AB682" s="155"/>
      <c r="AC682" s="155"/>
    </row>
    <row r="683" ht="15.75" customHeight="1">
      <c r="A683" s="155"/>
      <c r="B683" s="155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  <c r="AA683" s="155"/>
      <c r="AB683" s="155"/>
      <c r="AC683" s="155"/>
    </row>
    <row r="684" ht="15.75" customHeight="1">
      <c r="A684" s="155"/>
      <c r="B684" s="155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  <c r="AA684" s="155"/>
      <c r="AB684" s="155"/>
      <c r="AC684" s="155"/>
    </row>
    <row r="685" ht="15.75" customHeight="1">
      <c r="A685" s="155"/>
      <c r="B685" s="155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  <c r="AA685" s="155"/>
      <c r="AB685" s="155"/>
      <c r="AC685" s="155"/>
    </row>
    <row r="686" ht="15.75" customHeight="1">
      <c r="A686" s="155"/>
      <c r="B686" s="155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  <c r="AA686" s="155"/>
      <c r="AB686" s="155"/>
      <c r="AC686" s="155"/>
    </row>
    <row r="687" ht="15.75" customHeight="1">
      <c r="A687" s="155"/>
      <c r="B687" s="155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  <c r="AA687" s="155"/>
      <c r="AB687" s="155"/>
      <c r="AC687" s="155"/>
    </row>
    <row r="688" ht="15.75" customHeight="1">
      <c r="A688" s="155"/>
      <c r="B688" s="155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  <c r="AA688" s="155"/>
      <c r="AB688" s="155"/>
      <c r="AC688" s="155"/>
    </row>
    <row r="689" ht="15.75" customHeight="1">
      <c r="A689" s="155"/>
      <c r="B689" s="155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  <c r="AA689" s="155"/>
      <c r="AB689" s="155"/>
      <c r="AC689" s="155"/>
    </row>
    <row r="690" ht="15.75" customHeight="1">
      <c r="A690" s="155"/>
      <c r="B690" s="155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  <c r="AA690" s="155"/>
      <c r="AB690" s="155"/>
      <c r="AC690" s="155"/>
    </row>
    <row r="691" ht="15.75" customHeight="1">
      <c r="A691" s="155"/>
      <c r="B691" s="155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  <c r="AA691" s="155"/>
      <c r="AB691" s="155"/>
      <c r="AC691" s="155"/>
    </row>
    <row r="692" ht="15.75" customHeight="1">
      <c r="A692" s="155"/>
      <c r="B692" s="155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  <c r="AA692" s="155"/>
      <c r="AB692" s="155"/>
      <c r="AC692" s="155"/>
    </row>
    <row r="693" ht="15.75" customHeight="1">
      <c r="A693" s="155"/>
      <c r="B693" s="155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  <c r="AA693" s="155"/>
      <c r="AB693" s="155"/>
      <c r="AC693" s="155"/>
    </row>
    <row r="694" ht="15.75" customHeight="1">
      <c r="A694" s="155"/>
      <c r="B694" s="155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  <c r="AA694" s="155"/>
      <c r="AB694" s="155"/>
      <c r="AC694" s="155"/>
    </row>
    <row r="695" ht="15.75" customHeight="1">
      <c r="A695" s="155"/>
      <c r="B695" s="155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  <c r="AA695" s="155"/>
      <c r="AB695" s="155"/>
      <c r="AC695" s="155"/>
    </row>
    <row r="696" ht="15.75" customHeight="1">
      <c r="A696" s="155"/>
      <c r="B696" s="155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  <c r="AA696" s="155"/>
      <c r="AB696" s="155"/>
      <c r="AC696" s="155"/>
    </row>
    <row r="697" ht="15.75" customHeight="1">
      <c r="A697" s="155"/>
      <c r="B697" s="155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  <c r="AA697" s="155"/>
      <c r="AB697" s="155"/>
      <c r="AC697" s="155"/>
    </row>
    <row r="698" ht="15.75" customHeight="1">
      <c r="A698" s="155"/>
      <c r="B698" s="155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  <c r="AA698" s="155"/>
      <c r="AB698" s="155"/>
      <c r="AC698" s="155"/>
    </row>
    <row r="699" ht="15.75" customHeight="1">
      <c r="A699" s="155"/>
      <c r="B699" s="155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  <c r="AA699" s="155"/>
      <c r="AB699" s="155"/>
      <c r="AC699" s="155"/>
    </row>
    <row r="700" ht="15.75" customHeight="1">
      <c r="A700" s="155"/>
      <c r="B700" s="155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  <c r="AA700" s="155"/>
      <c r="AB700" s="155"/>
      <c r="AC700" s="155"/>
    </row>
    <row r="701" ht="15.75" customHeight="1">
      <c r="A701" s="155"/>
      <c r="B701" s="155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  <c r="AA701" s="155"/>
      <c r="AB701" s="155"/>
      <c r="AC701" s="155"/>
    </row>
    <row r="702" ht="15.75" customHeight="1">
      <c r="A702" s="155"/>
      <c r="B702" s="155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  <c r="AA702" s="155"/>
      <c r="AB702" s="155"/>
      <c r="AC702" s="155"/>
    </row>
    <row r="703" ht="15.75" customHeight="1">
      <c r="A703" s="155"/>
      <c r="B703" s="155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  <c r="AA703" s="155"/>
      <c r="AB703" s="155"/>
      <c r="AC703" s="155"/>
    </row>
    <row r="704" ht="15.75" customHeight="1">
      <c r="A704" s="155"/>
      <c r="B704" s="155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  <c r="AA704" s="155"/>
      <c r="AB704" s="155"/>
      <c r="AC704" s="155"/>
    </row>
    <row r="705" ht="15.75" customHeight="1">
      <c r="A705" s="155"/>
      <c r="B705" s="155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  <c r="AA705" s="155"/>
      <c r="AB705" s="155"/>
      <c r="AC705" s="155"/>
    </row>
    <row r="706" ht="15.75" customHeight="1">
      <c r="A706" s="155"/>
      <c r="B706" s="155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  <c r="AA706" s="155"/>
      <c r="AB706" s="155"/>
      <c r="AC706" s="155"/>
    </row>
    <row r="707" ht="15.75" customHeight="1">
      <c r="A707" s="155"/>
      <c r="B707" s="155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</row>
    <row r="708" ht="15.75" customHeight="1">
      <c r="A708" s="155"/>
      <c r="B708" s="155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  <c r="AA708" s="155"/>
      <c r="AB708" s="155"/>
      <c r="AC708" s="155"/>
    </row>
    <row r="709" ht="15.75" customHeight="1">
      <c r="A709" s="155"/>
      <c r="B709" s="155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  <c r="AA709" s="155"/>
      <c r="AB709" s="155"/>
      <c r="AC709" s="155"/>
    </row>
    <row r="710" ht="15.75" customHeight="1">
      <c r="A710" s="155"/>
      <c r="B710" s="155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  <c r="AA710" s="155"/>
      <c r="AB710" s="155"/>
      <c r="AC710" s="155"/>
    </row>
    <row r="711" ht="15.75" customHeight="1">
      <c r="A711" s="155"/>
      <c r="B711" s="155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  <c r="AA711" s="155"/>
      <c r="AB711" s="155"/>
      <c r="AC711" s="155"/>
    </row>
    <row r="712" ht="15.75" customHeight="1">
      <c r="A712" s="155"/>
      <c r="B712" s="155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  <c r="AA712" s="155"/>
      <c r="AB712" s="155"/>
      <c r="AC712" s="155"/>
    </row>
    <row r="713" ht="15.75" customHeight="1">
      <c r="A713" s="155"/>
      <c r="B713" s="155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  <c r="AA713" s="155"/>
      <c r="AB713" s="155"/>
      <c r="AC713" s="155"/>
    </row>
    <row r="714" ht="15.75" customHeight="1">
      <c r="A714" s="155"/>
      <c r="B714" s="155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  <c r="AA714" s="155"/>
      <c r="AB714" s="155"/>
      <c r="AC714" s="155"/>
    </row>
    <row r="715" ht="15.75" customHeight="1">
      <c r="A715" s="155"/>
      <c r="B715" s="155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  <c r="AA715" s="155"/>
      <c r="AB715" s="155"/>
      <c r="AC715" s="155"/>
    </row>
    <row r="716" ht="15.75" customHeight="1">
      <c r="A716" s="155"/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  <c r="AA716" s="155"/>
      <c r="AB716" s="155"/>
      <c r="AC716" s="155"/>
    </row>
    <row r="717" ht="15.75" customHeight="1">
      <c r="A717" s="155"/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  <c r="AA717" s="155"/>
      <c r="AB717" s="155"/>
      <c r="AC717" s="155"/>
    </row>
    <row r="718" ht="15.75" customHeight="1">
      <c r="A718" s="155"/>
      <c r="B718" s="155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  <c r="AA718" s="155"/>
      <c r="AB718" s="155"/>
      <c r="AC718" s="155"/>
    </row>
    <row r="719" ht="15.75" customHeight="1">
      <c r="A719" s="155"/>
      <c r="B719" s="155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  <c r="AA719" s="155"/>
      <c r="AB719" s="155"/>
      <c r="AC719" s="155"/>
    </row>
    <row r="720" ht="15.75" customHeight="1">
      <c r="A720" s="155"/>
      <c r="B720" s="155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  <c r="AA720" s="155"/>
      <c r="AB720" s="155"/>
      <c r="AC720" s="155"/>
    </row>
    <row r="721" ht="15.75" customHeight="1">
      <c r="A721" s="155"/>
      <c r="B721" s="155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  <c r="AA721" s="155"/>
      <c r="AB721" s="155"/>
      <c r="AC721" s="155"/>
    </row>
    <row r="722" ht="15.75" customHeight="1">
      <c r="A722" s="155"/>
      <c r="B722" s="155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  <c r="AA722" s="155"/>
      <c r="AB722" s="155"/>
      <c r="AC722" s="155"/>
    </row>
    <row r="723" ht="15.75" customHeight="1">
      <c r="A723" s="155"/>
      <c r="B723" s="155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  <c r="AA723" s="155"/>
      <c r="AB723" s="155"/>
      <c r="AC723" s="155"/>
    </row>
    <row r="724" ht="15.75" customHeight="1">
      <c r="A724" s="155"/>
      <c r="B724" s="155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  <c r="AA724" s="155"/>
      <c r="AB724" s="155"/>
      <c r="AC724" s="155"/>
    </row>
    <row r="725" ht="15.75" customHeight="1">
      <c r="A725" s="155"/>
      <c r="B725" s="155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  <c r="AA725" s="155"/>
      <c r="AB725" s="155"/>
      <c r="AC725" s="155"/>
    </row>
    <row r="726" ht="15.75" customHeight="1">
      <c r="A726" s="155"/>
      <c r="B726" s="155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  <c r="AA726" s="155"/>
      <c r="AB726" s="155"/>
      <c r="AC726" s="155"/>
    </row>
    <row r="727" ht="15.75" customHeight="1">
      <c r="A727" s="155"/>
      <c r="B727" s="155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  <c r="AA727" s="155"/>
      <c r="AB727" s="155"/>
      <c r="AC727" s="155"/>
    </row>
    <row r="728" ht="15.75" customHeight="1">
      <c r="A728" s="155"/>
      <c r="B728" s="155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  <c r="AC728" s="155"/>
    </row>
    <row r="729" ht="15.75" customHeight="1">
      <c r="A729" s="155"/>
      <c r="B729" s="155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  <c r="AA729" s="155"/>
      <c r="AB729" s="155"/>
      <c r="AC729" s="155"/>
    </row>
    <row r="730" ht="15.75" customHeight="1">
      <c r="A730" s="155"/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  <c r="AA730" s="155"/>
      <c r="AB730" s="155"/>
      <c r="AC730" s="155"/>
    </row>
    <row r="731" ht="15.75" customHeight="1">
      <c r="A731" s="155"/>
      <c r="B731" s="155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  <c r="AA731" s="155"/>
      <c r="AB731" s="155"/>
      <c r="AC731" s="155"/>
    </row>
    <row r="732" ht="15.75" customHeight="1">
      <c r="A732" s="155"/>
      <c r="B732" s="155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  <c r="AA732" s="155"/>
      <c r="AB732" s="155"/>
      <c r="AC732" s="155"/>
    </row>
    <row r="733" ht="15.75" customHeight="1">
      <c r="A733" s="155"/>
      <c r="B733" s="155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  <c r="AA733" s="155"/>
      <c r="AB733" s="155"/>
      <c r="AC733" s="155"/>
    </row>
    <row r="734" ht="15.75" customHeight="1">
      <c r="A734" s="155"/>
      <c r="B734" s="155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  <c r="AA734" s="155"/>
      <c r="AB734" s="155"/>
      <c r="AC734" s="155"/>
    </row>
    <row r="735" ht="15.75" customHeight="1">
      <c r="A735" s="155"/>
      <c r="B735" s="155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  <c r="AA735" s="155"/>
      <c r="AB735" s="155"/>
      <c r="AC735" s="155"/>
    </row>
    <row r="736" ht="15.75" customHeight="1">
      <c r="A736" s="155"/>
      <c r="B736" s="155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  <c r="AA736" s="155"/>
      <c r="AB736" s="155"/>
      <c r="AC736" s="155"/>
    </row>
    <row r="737" ht="15.75" customHeight="1">
      <c r="A737" s="155"/>
      <c r="B737" s="155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  <c r="AA737" s="155"/>
      <c r="AB737" s="155"/>
      <c r="AC737" s="155"/>
    </row>
    <row r="738" ht="15.75" customHeight="1">
      <c r="A738" s="155"/>
      <c r="B738" s="155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</row>
    <row r="739" ht="15.75" customHeight="1">
      <c r="A739" s="155"/>
      <c r="B739" s="155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  <c r="AA739" s="155"/>
      <c r="AB739" s="155"/>
      <c r="AC739" s="155"/>
    </row>
    <row r="740" ht="15.75" customHeight="1">
      <c r="A740" s="155"/>
      <c r="B740" s="155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  <c r="AA740" s="155"/>
      <c r="AB740" s="155"/>
      <c r="AC740" s="155"/>
    </row>
    <row r="741" ht="15.75" customHeight="1">
      <c r="A741" s="155"/>
      <c r="B741" s="155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  <c r="AA741" s="155"/>
      <c r="AB741" s="155"/>
      <c r="AC741" s="155"/>
    </row>
    <row r="742" ht="15.75" customHeight="1">
      <c r="A742" s="155"/>
      <c r="B742" s="155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  <c r="AA742" s="155"/>
      <c r="AB742" s="155"/>
      <c r="AC742" s="155"/>
    </row>
    <row r="743" ht="15.75" customHeight="1">
      <c r="A743" s="155"/>
      <c r="B743" s="155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  <c r="AA743" s="155"/>
      <c r="AB743" s="155"/>
      <c r="AC743" s="155"/>
    </row>
    <row r="744" ht="15.75" customHeight="1">
      <c r="A744" s="155"/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  <c r="AA744" s="155"/>
      <c r="AB744" s="155"/>
      <c r="AC744" s="155"/>
    </row>
    <row r="745" ht="15.75" customHeight="1">
      <c r="A745" s="155"/>
      <c r="B745" s="155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  <c r="AA745" s="155"/>
      <c r="AB745" s="155"/>
      <c r="AC745" s="155"/>
    </row>
    <row r="746" ht="15.75" customHeight="1">
      <c r="A746" s="155"/>
      <c r="B746" s="155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  <c r="AA746" s="155"/>
      <c r="AB746" s="155"/>
      <c r="AC746" s="155"/>
    </row>
    <row r="747" ht="15.75" customHeight="1">
      <c r="A747" s="155"/>
      <c r="B747" s="155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  <c r="AA747" s="155"/>
      <c r="AB747" s="155"/>
      <c r="AC747" s="155"/>
    </row>
    <row r="748" ht="15.75" customHeight="1">
      <c r="A748" s="155"/>
      <c r="B748" s="155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  <c r="AA748" s="155"/>
      <c r="AB748" s="155"/>
      <c r="AC748" s="155"/>
    </row>
    <row r="749" ht="15.75" customHeight="1">
      <c r="A749" s="155"/>
      <c r="B749" s="155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  <c r="AA749" s="155"/>
      <c r="AB749" s="155"/>
      <c r="AC749" s="155"/>
    </row>
    <row r="750" ht="15.75" customHeight="1">
      <c r="A750" s="155"/>
      <c r="B750" s="155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  <c r="AA750" s="155"/>
      <c r="AB750" s="155"/>
      <c r="AC750" s="155"/>
    </row>
    <row r="751" ht="15.75" customHeight="1">
      <c r="A751" s="155"/>
      <c r="B751" s="155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  <c r="AA751" s="155"/>
      <c r="AB751" s="155"/>
      <c r="AC751" s="155"/>
    </row>
    <row r="752" ht="15.75" customHeight="1">
      <c r="A752" s="155"/>
      <c r="B752" s="155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  <c r="AA752" s="155"/>
      <c r="AB752" s="155"/>
      <c r="AC752" s="155"/>
    </row>
    <row r="753" ht="15.75" customHeight="1">
      <c r="A753" s="155"/>
      <c r="B753" s="155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  <c r="AA753" s="155"/>
      <c r="AB753" s="155"/>
      <c r="AC753" s="155"/>
    </row>
    <row r="754" ht="15.75" customHeight="1">
      <c r="A754" s="155"/>
      <c r="B754" s="155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  <c r="AA754" s="155"/>
      <c r="AB754" s="155"/>
      <c r="AC754" s="155"/>
    </row>
    <row r="755" ht="15.75" customHeight="1">
      <c r="A755" s="155"/>
      <c r="B755" s="155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  <c r="AA755" s="155"/>
      <c r="AB755" s="155"/>
      <c r="AC755" s="155"/>
    </row>
    <row r="756" ht="15.75" customHeight="1">
      <c r="A756" s="155"/>
      <c r="B756" s="155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  <c r="AA756" s="155"/>
      <c r="AB756" s="155"/>
      <c r="AC756" s="155"/>
    </row>
    <row r="757" ht="15.75" customHeight="1">
      <c r="A757" s="155"/>
      <c r="B757" s="155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  <c r="AA757" s="155"/>
      <c r="AB757" s="155"/>
      <c r="AC757" s="155"/>
    </row>
    <row r="758" ht="15.75" customHeight="1">
      <c r="A758" s="155"/>
      <c r="B758" s="155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  <c r="AA758" s="155"/>
      <c r="AB758" s="155"/>
      <c r="AC758" s="155"/>
    </row>
    <row r="759" ht="15.75" customHeight="1">
      <c r="A759" s="155"/>
      <c r="B759" s="155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  <c r="AA759" s="155"/>
      <c r="AB759" s="155"/>
      <c r="AC759" s="155"/>
    </row>
    <row r="760" ht="15.75" customHeight="1">
      <c r="A760" s="155"/>
      <c r="B760" s="155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  <c r="AA760" s="155"/>
      <c r="AB760" s="155"/>
      <c r="AC760" s="155"/>
    </row>
    <row r="761" ht="15.75" customHeight="1">
      <c r="A761" s="155"/>
      <c r="B761" s="155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  <c r="AA761" s="155"/>
      <c r="AB761" s="155"/>
      <c r="AC761" s="155"/>
    </row>
    <row r="762" ht="15.75" customHeight="1">
      <c r="A762" s="155"/>
      <c r="B762" s="155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  <c r="AA762" s="155"/>
      <c r="AB762" s="155"/>
      <c r="AC762" s="155"/>
    </row>
    <row r="763" ht="15.75" customHeight="1">
      <c r="A763" s="155"/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  <c r="AA763" s="155"/>
      <c r="AB763" s="155"/>
      <c r="AC763" s="155"/>
    </row>
    <row r="764" ht="15.75" customHeight="1">
      <c r="A764" s="155"/>
      <c r="B764" s="155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  <c r="AA764" s="155"/>
      <c r="AB764" s="155"/>
      <c r="AC764" s="155"/>
    </row>
    <row r="765" ht="15.75" customHeight="1">
      <c r="A765" s="155"/>
      <c r="B765" s="155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  <c r="AA765" s="155"/>
      <c r="AB765" s="155"/>
      <c r="AC765" s="155"/>
    </row>
    <row r="766" ht="15.75" customHeight="1">
      <c r="A766" s="155"/>
      <c r="B766" s="155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  <c r="AA766" s="155"/>
      <c r="AB766" s="155"/>
      <c r="AC766" s="155"/>
    </row>
    <row r="767" ht="15.75" customHeight="1">
      <c r="A767" s="155"/>
      <c r="B767" s="155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  <c r="AA767" s="155"/>
      <c r="AB767" s="155"/>
      <c r="AC767" s="155"/>
    </row>
    <row r="768" ht="15.75" customHeight="1">
      <c r="A768" s="155"/>
      <c r="B768" s="155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  <c r="AA768" s="155"/>
      <c r="AB768" s="155"/>
      <c r="AC768" s="155"/>
    </row>
    <row r="769" ht="15.75" customHeight="1">
      <c r="A769" s="155"/>
      <c r="B769" s="155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  <c r="AA769" s="155"/>
      <c r="AB769" s="155"/>
      <c r="AC769" s="155"/>
    </row>
    <row r="770" ht="15.75" customHeight="1">
      <c r="A770" s="155"/>
      <c r="B770" s="155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  <c r="AA770" s="155"/>
      <c r="AB770" s="155"/>
      <c r="AC770" s="155"/>
    </row>
    <row r="771" ht="15.75" customHeight="1">
      <c r="A771" s="155"/>
      <c r="B771" s="155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</row>
    <row r="772" ht="15.75" customHeight="1">
      <c r="A772" s="155"/>
      <c r="B772" s="155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  <c r="AA772" s="155"/>
      <c r="AB772" s="155"/>
      <c r="AC772" s="155"/>
    </row>
    <row r="773" ht="15.75" customHeight="1">
      <c r="A773" s="155"/>
      <c r="B773" s="155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  <c r="AA773" s="155"/>
      <c r="AB773" s="155"/>
      <c r="AC773" s="155"/>
    </row>
    <row r="774" ht="15.75" customHeight="1">
      <c r="A774" s="155"/>
      <c r="B774" s="155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  <c r="AA774" s="155"/>
      <c r="AB774" s="155"/>
      <c r="AC774" s="155"/>
    </row>
    <row r="775" ht="15.75" customHeight="1">
      <c r="A775" s="155"/>
      <c r="B775" s="155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  <c r="AA775" s="155"/>
      <c r="AB775" s="155"/>
      <c r="AC775" s="155"/>
    </row>
    <row r="776" ht="15.75" customHeight="1">
      <c r="A776" s="155"/>
      <c r="B776" s="155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  <c r="AA776" s="155"/>
      <c r="AB776" s="155"/>
      <c r="AC776" s="155"/>
    </row>
    <row r="777" ht="15.75" customHeight="1">
      <c r="A777" s="155"/>
      <c r="B777" s="155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  <c r="AA777" s="155"/>
      <c r="AB777" s="155"/>
      <c r="AC777" s="155"/>
    </row>
    <row r="778" ht="15.75" customHeight="1">
      <c r="A778" s="155"/>
      <c r="B778" s="155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  <c r="AA778" s="155"/>
      <c r="AB778" s="155"/>
      <c r="AC778" s="155"/>
    </row>
    <row r="779" ht="15.75" customHeight="1">
      <c r="A779" s="155"/>
      <c r="B779" s="155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  <c r="AA779" s="155"/>
      <c r="AB779" s="155"/>
      <c r="AC779" s="155"/>
    </row>
    <row r="780" ht="15.75" customHeight="1">
      <c r="A780" s="155"/>
      <c r="B780" s="155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  <c r="AA780" s="155"/>
      <c r="AB780" s="155"/>
      <c r="AC780" s="155"/>
    </row>
    <row r="781" ht="15.75" customHeight="1">
      <c r="A781" s="155"/>
      <c r="B781" s="155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  <c r="AA781" s="155"/>
      <c r="AB781" s="155"/>
      <c r="AC781" s="155"/>
    </row>
    <row r="782" ht="15.75" customHeight="1">
      <c r="A782" s="155"/>
      <c r="B782" s="155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  <c r="AA782" s="155"/>
      <c r="AB782" s="155"/>
      <c r="AC782" s="155"/>
    </row>
    <row r="783" ht="15.75" customHeight="1">
      <c r="A783" s="155"/>
      <c r="B783" s="155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  <c r="AA783" s="155"/>
      <c r="AB783" s="155"/>
      <c r="AC783" s="155"/>
    </row>
    <row r="784" ht="15.75" customHeight="1">
      <c r="A784" s="155"/>
      <c r="B784" s="155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  <c r="AA784" s="155"/>
      <c r="AB784" s="155"/>
      <c r="AC784" s="155"/>
    </row>
    <row r="785" ht="15.75" customHeight="1">
      <c r="A785" s="155"/>
      <c r="B785" s="155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  <c r="AA785" s="155"/>
      <c r="AB785" s="155"/>
      <c r="AC785" s="155"/>
    </row>
    <row r="786" ht="15.75" customHeight="1">
      <c r="A786" s="155"/>
      <c r="B786" s="155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  <c r="AA786" s="155"/>
      <c r="AB786" s="155"/>
      <c r="AC786" s="155"/>
    </row>
    <row r="787" ht="15.75" customHeight="1">
      <c r="A787" s="155"/>
      <c r="B787" s="155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  <c r="AA787" s="155"/>
      <c r="AB787" s="155"/>
      <c r="AC787" s="155"/>
    </row>
    <row r="788" ht="15.75" customHeight="1">
      <c r="A788" s="155"/>
      <c r="B788" s="155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  <c r="AA788" s="155"/>
      <c r="AB788" s="155"/>
      <c r="AC788" s="155"/>
    </row>
    <row r="789" ht="15.75" customHeight="1">
      <c r="A789" s="155"/>
      <c r="B789" s="155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  <c r="AA789" s="155"/>
      <c r="AB789" s="155"/>
      <c r="AC789" s="155"/>
    </row>
    <row r="790" ht="15.75" customHeight="1">
      <c r="A790" s="155"/>
      <c r="B790" s="155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  <c r="AA790" s="155"/>
      <c r="AB790" s="155"/>
      <c r="AC790" s="155"/>
    </row>
    <row r="791" ht="15.75" customHeight="1">
      <c r="A791" s="155"/>
      <c r="B791" s="155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  <c r="AA791" s="155"/>
      <c r="AB791" s="155"/>
      <c r="AC791" s="155"/>
    </row>
    <row r="792" ht="15.75" customHeight="1">
      <c r="A792" s="155"/>
      <c r="B792" s="155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  <c r="AC792" s="155"/>
    </row>
    <row r="793" ht="15.75" customHeight="1">
      <c r="A793" s="155"/>
      <c r="B793" s="155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  <c r="AA793" s="155"/>
      <c r="AB793" s="155"/>
      <c r="AC793" s="155"/>
    </row>
    <row r="794" ht="15.75" customHeight="1">
      <c r="A794" s="155"/>
      <c r="B794" s="155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  <c r="AA794" s="155"/>
      <c r="AB794" s="155"/>
      <c r="AC794" s="155"/>
    </row>
    <row r="795" ht="15.75" customHeight="1">
      <c r="A795" s="155"/>
      <c r="B795" s="155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  <c r="AA795" s="155"/>
      <c r="AB795" s="155"/>
      <c r="AC795" s="155"/>
    </row>
    <row r="796" ht="15.75" customHeight="1">
      <c r="A796" s="155"/>
      <c r="B796" s="155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  <c r="AA796" s="155"/>
      <c r="AB796" s="155"/>
      <c r="AC796" s="155"/>
    </row>
    <row r="797" ht="15.75" customHeight="1">
      <c r="A797" s="155"/>
      <c r="B797" s="155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  <c r="AA797" s="155"/>
      <c r="AB797" s="155"/>
      <c r="AC797" s="155"/>
    </row>
    <row r="798" ht="15.75" customHeight="1">
      <c r="A798" s="155"/>
      <c r="B798" s="155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  <c r="AA798" s="155"/>
      <c r="AB798" s="155"/>
      <c r="AC798" s="155"/>
    </row>
    <row r="799" ht="15.75" customHeight="1">
      <c r="A799" s="155"/>
      <c r="B799" s="155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  <c r="AA799" s="155"/>
      <c r="AB799" s="155"/>
      <c r="AC799" s="155"/>
    </row>
    <row r="800" ht="15.75" customHeight="1">
      <c r="A800" s="155"/>
      <c r="B800" s="155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  <c r="AA800" s="155"/>
      <c r="AB800" s="155"/>
      <c r="AC800" s="155"/>
    </row>
    <row r="801" ht="15.75" customHeight="1">
      <c r="A801" s="155"/>
      <c r="B801" s="155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  <c r="AA801" s="155"/>
      <c r="AB801" s="155"/>
      <c r="AC801" s="155"/>
    </row>
    <row r="802" ht="15.75" customHeight="1">
      <c r="A802" s="155"/>
      <c r="B802" s="155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</row>
    <row r="803" ht="15.75" customHeight="1">
      <c r="A803" s="155"/>
      <c r="B803" s="155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  <c r="AA803" s="155"/>
      <c r="AB803" s="155"/>
      <c r="AC803" s="155"/>
    </row>
    <row r="804" ht="15.75" customHeight="1">
      <c r="A804" s="155"/>
      <c r="B804" s="155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  <c r="AA804" s="155"/>
      <c r="AB804" s="155"/>
      <c r="AC804" s="155"/>
    </row>
    <row r="805" ht="15.75" customHeight="1">
      <c r="A805" s="155"/>
      <c r="B805" s="155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  <c r="AA805" s="155"/>
      <c r="AB805" s="155"/>
      <c r="AC805" s="155"/>
    </row>
    <row r="806" ht="15.75" customHeight="1">
      <c r="A806" s="155"/>
      <c r="B806" s="155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  <c r="AA806" s="155"/>
      <c r="AB806" s="155"/>
      <c r="AC806" s="155"/>
    </row>
    <row r="807" ht="15.75" customHeight="1">
      <c r="A807" s="155"/>
      <c r="B807" s="155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  <c r="AA807" s="155"/>
      <c r="AB807" s="155"/>
      <c r="AC807" s="155"/>
    </row>
    <row r="808" ht="15.75" customHeight="1">
      <c r="A808" s="155"/>
      <c r="B808" s="155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  <c r="AA808" s="155"/>
      <c r="AB808" s="155"/>
      <c r="AC808" s="155"/>
    </row>
    <row r="809" ht="15.75" customHeight="1">
      <c r="A809" s="155"/>
      <c r="B809" s="155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  <c r="AC809" s="155"/>
    </row>
    <row r="810" ht="15.75" customHeight="1">
      <c r="A810" s="155"/>
      <c r="B810" s="155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  <c r="AC810" s="155"/>
    </row>
    <row r="811" ht="15.75" customHeight="1">
      <c r="A811" s="155"/>
      <c r="B811" s="155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  <c r="AC811" s="155"/>
    </row>
    <row r="812" ht="15.75" customHeight="1">
      <c r="A812" s="155"/>
      <c r="B812" s="155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  <c r="AC812" s="155"/>
    </row>
    <row r="813" ht="15.75" customHeight="1">
      <c r="A813" s="155"/>
      <c r="B813" s="155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  <c r="AC813" s="155"/>
    </row>
    <row r="814" ht="15.75" customHeight="1">
      <c r="A814" s="155"/>
      <c r="B814" s="155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  <c r="AC814" s="155"/>
    </row>
    <row r="815" ht="15.75" customHeight="1">
      <c r="A815" s="155"/>
      <c r="B815" s="155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  <c r="AC815" s="155"/>
    </row>
    <row r="816" ht="15.75" customHeight="1">
      <c r="A816" s="155"/>
      <c r="B816" s="155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  <c r="AC816" s="155"/>
    </row>
    <row r="817" ht="15.75" customHeight="1">
      <c r="A817" s="155"/>
      <c r="B817" s="155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  <c r="AC817" s="155"/>
    </row>
    <row r="818" ht="15.75" customHeight="1">
      <c r="A818" s="155"/>
      <c r="B818" s="155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  <c r="AC818" s="155"/>
    </row>
    <row r="819" ht="15.75" customHeight="1">
      <c r="A819" s="155"/>
      <c r="B819" s="155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  <c r="AA819" s="155"/>
      <c r="AB819" s="155"/>
      <c r="AC819" s="155"/>
    </row>
    <row r="820" ht="15.75" customHeight="1">
      <c r="A820" s="155"/>
      <c r="B820" s="155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  <c r="AA820" s="155"/>
      <c r="AB820" s="155"/>
      <c r="AC820" s="155"/>
    </row>
    <row r="821" ht="15.75" customHeight="1">
      <c r="A821" s="155"/>
      <c r="B821" s="155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  <c r="AA821" s="155"/>
      <c r="AB821" s="155"/>
      <c r="AC821" s="155"/>
    </row>
    <row r="822" ht="15.75" customHeight="1">
      <c r="A822" s="155"/>
      <c r="B822" s="155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  <c r="AA822" s="155"/>
      <c r="AB822" s="155"/>
      <c r="AC822" s="155"/>
    </row>
    <row r="823" ht="15.75" customHeight="1">
      <c r="A823" s="155"/>
      <c r="B823" s="155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  <c r="AA823" s="155"/>
      <c r="AB823" s="155"/>
      <c r="AC823" s="155"/>
    </row>
    <row r="824" ht="15.75" customHeight="1">
      <c r="A824" s="155"/>
      <c r="B824" s="155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  <c r="AA824" s="155"/>
      <c r="AB824" s="155"/>
      <c r="AC824" s="155"/>
    </row>
    <row r="825" ht="15.75" customHeight="1">
      <c r="A825" s="155"/>
      <c r="B825" s="155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  <c r="AA825" s="155"/>
      <c r="AB825" s="155"/>
      <c r="AC825" s="155"/>
    </row>
    <row r="826" ht="15.75" customHeight="1">
      <c r="A826" s="155"/>
      <c r="B826" s="155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  <c r="AA826" s="155"/>
      <c r="AB826" s="155"/>
      <c r="AC826" s="155"/>
    </row>
    <row r="827" ht="15.75" customHeight="1">
      <c r="A827" s="155"/>
      <c r="B827" s="155"/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  <c r="AA827" s="155"/>
      <c r="AB827" s="155"/>
      <c r="AC827" s="155"/>
    </row>
    <row r="828" ht="15.75" customHeight="1">
      <c r="A828" s="155"/>
      <c r="B828" s="155"/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  <c r="AA828" s="155"/>
      <c r="AB828" s="155"/>
      <c r="AC828" s="155"/>
    </row>
    <row r="829" ht="15.75" customHeight="1">
      <c r="A829" s="155"/>
      <c r="B829" s="155"/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  <c r="AA829" s="155"/>
      <c r="AB829" s="155"/>
      <c r="AC829" s="155"/>
    </row>
    <row r="830" ht="15.75" customHeight="1">
      <c r="A830" s="155"/>
      <c r="B830" s="155"/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  <c r="AA830" s="155"/>
      <c r="AB830" s="155"/>
      <c r="AC830" s="155"/>
    </row>
    <row r="831" ht="15.75" customHeight="1">
      <c r="A831" s="155"/>
      <c r="B831" s="155"/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  <c r="AA831" s="155"/>
      <c r="AB831" s="155"/>
      <c r="AC831" s="155"/>
    </row>
    <row r="832" ht="15.75" customHeight="1">
      <c r="A832" s="155"/>
      <c r="B832" s="155"/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  <c r="AA832" s="155"/>
      <c r="AB832" s="155"/>
      <c r="AC832" s="155"/>
    </row>
    <row r="833" ht="15.75" customHeight="1">
      <c r="A833" s="155"/>
      <c r="B833" s="155"/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  <c r="AA833" s="155"/>
      <c r="AB833" s="155"/>
      <c r="AC833" s="155"/>
    </row>
    <row r="834" ht="15.75" customHeight="1">
      <c r="A834" s="155"/>
      <c r="B834" s="155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  <c r="AA834" s="155"/>
      <c r="AB834" s="155"/>
      <c r="AC834" s="155"/>
    </row>
    <row r="835" ht="15.75" customHeight="1">
      <c r="A835" s="155"/>
      <c r="B835" s="155"/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</row>
    <row r="836" ht="15.75" customHeight="1">
      <c r="A836" s="155"/>
      <c r="B836" s="155"/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  <c r="AA836" s="155"/>
      <c r="AB836" s="155"/>
      <c r="AC836" s="155"/>
    </row>
    <row r="837" ht="15.75" customHeight="1">
      <c r="A837" s="155"/>
      <c r="B837" s="155"/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  <c r="AA837" s="155"/>
      <c r="AB837" s="155"/>
      <c r="AC837" s="155"/>
    </row>
    <row r="838" ht="15.75" customHeight="1">
      <c r="A838" s="155"/>
      <c r="B838" s="155"/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  <c r="AA838" s="155"/>
      <c r="AB838" s="155"/>
      <c r="AC838" s="155"/>
    </row>
    <row r="839" ht="15.75" customHeight="1">
      <c r="A839" s="155"/>
      <c r="B839" s="155"/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  <c r="AA839" s="155"/>
      <c r="AB839" s="155"/>
      <c r="AC839" s="155"/>
    </row>
    <row r="840" ht="15.75" customHeight="1">
      <c r="A840" s="155"/>
      <c r="B840" s="155"/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  <c r="AA840" s="155"/>
      <c r="AB840" s="155"/>
      <c r="AC840" s="155"/>
    </row>
    <row r="841" ht="15.75" customHeight="1">
      <c r="A841" s="155"/>
      <c r="B841" s="155"/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  <c r="AA841" s="155"/>
      <c r="AB841" s="155"/>
      <c r="AC841" s="155"/>
    </row>
    <row r="842" ht="15.75" customHeight="1">
      <c r="A842" s="155"/>
      <c r="B842" s="155"/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  <c r="AA842" s="155"/>
      <c r="AB842" s="155"/>
      <c r="AC842" s="155"/>
    </row>
    <row r="843" ht="15.75" customHeight="1">
      <c r="A843" s="155"/>
      <c r="B843" s="155"/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  <c r="AA843" s="155"/>
      <c r="AB843" s="155"/>
      <c r="AC843" s="155"/>
    </row>
    <row r="844" ht="15.75" customHeight="1">
      <c r="A844" s="155"/>
      <c r="B844" s="155"/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  <c r="AA844" s="155"/>
      <c r="AB844" s="155"/>
      <c r="AC844" s="155"/>
    </row>
    <row r="845" ht="15.75" customHeight="1">
      <c r="A845" s="155"/>
      <c r="B845" s="155"/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  <c r="AA845" s="155"/>
      <c r="AB845" s="155"/>
      <c r="AC845" s="155"/>
    </row>
    <row r="846" ht="15.75" customHeight="1">
      <c r="A846" s="155"/>
      <c r="B846" s="155"/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  <c r="AA846" s="155"/>
      <c r="AB846" s="155"/>
      <c r="AC846" s="155"/>
    </row>
    <row r="847" ht="15.75" customHeight="1">
      <c r="A847" s="155"/>
      <c r="B847" s="155"/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  <c r="AA847" s="155"/>
      <c r="AB847" s="155"/>
      <c r="AC847" s="155"/>
    </row>
    <row r="848" ht="15.75" customHeight="1">
      <c r="A848" s="155"/>
      <c r="B848" s="155"/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  <c r="AA848" s="155"/>
      <c r="AB848" s="155"/>
      <c r="AC848" s="155"/>
    </row>
    <row r="849" ht="15.75" customHeight="1">
      <c r="A849" s="155"/>
      <c r="B849" s="155"/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  <c r="AA849" s="155"/>
      <c r="AB849" s="155"/>
      <c r="AC849" s="155"/>
    </row>
    <row r="850" ht="15.75" customHeight="1">
      <c r="A850" s="155"/>
      <c r="B850" s="155"/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  <c r="AA850" s="155"/>
      <c r="AB850" s="155"/>
      <c r="AC850" s="155"/>
    </row>
    <row r="851" ht="15.75" customHeight="1">
      <c r="A851" s="155"/>
      <c r="B851" s="155"/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  <c r="AA851" s="155"/>
      <c r="AB851" s="155"/>
      <c r="AC851" s="155"/>
    </row>
    <row r="852" ht="15.75" customHeight="1">
      <c r="A852" s="155"/>
      <c r="B852" s="155"/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  <c r="AA852" s="155"/>
      <c r="AB852" s="155"/>
      <c r="AC852" s="155"/>
    </row>
    <row r="853" ht="15.75" customHeight="1">
      <c r="A853" s="155"/>
      <c r="B853" s="155"/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  <c r="AA853" s="155"/>
      <c r="AB853" s="155"/>
      <c r="AC853" s="155"/>
    </row>
    <row r="854" ht="15.75" customHeight="1">
      <c r="A854" s="155"/>
      <c r="B854" s="155"/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  <c r="AA854" s="155"/>
      <c r="AB854" s="155"/>
      <c r="AC854" s="155"/>
    </row>
    <row r="855" ht="15.75" customHeight="1">
      <c r="A855" s="155"/>
      <c r="B855" s="155"/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  <c r="AC855" s="155"/>
    </row>
    <row r="856" ht="15.75" customHeight="1">
      <c r="A856" s="155"/>
      <c r="B856" s="155"/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  <c r="AA856" s="155"/>
      <c r="AB856" s="155"/>
      <c r="AC856" s="155"/>
    </row>
    <row r="857" ht="15.75" customHeight="1">
      <c r="A857" s="155"/>
      <c r="B857" s="155"/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  <c r="AA857" s="155"/>
      <c r="AB857" s="155"/>
      <c r="AC857" s="155"/>
    </row>
    <row r="858" ht="15.75" customHeight="1">
      <c r="A858" s="155"/>
      <c r="B858" s="155"/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  <c r="AA858" s="155"/>
      <c r="AB858" s="155"/>
      <c r="AC858" s="155"/>
    </row>
    <row r="859" ht="15.75" customHeight="1">
      <c r="A859" s="155"/>
      <c r="B859" s="155"/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  <c r="AA859" s="155"/>
      <c r="AB859" s="155"/>
      <c r="AC859" s="155"/>
    </row>
    <row r="860" ht="15.75" customHeight="1">
      <c r="A860" s="155"/>
      <c r="B860" s="155"/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  <c r="AA860" s="155"/>
      <c r="AB860" s="155"/>
      <c r="AC860" s="155"/>
    </row>
    <row r="861" ht="15.75" customHeight="1">
      <c r="A861" s="155"/>
      <c r="B861" s="155"/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  <c r="AA861" s="155"/>
      <c r="AB861" s="155"/>
      <c r="AC861" s="155"/>
    </row>
    <row r="862" ht="15.75" customHeight="1">
      <c r="A862" s="155"/>
      <c r="B862" s="155"/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  <c r="AA862" s="155"/>
      <c r="AB862" s="155"/>
      <c r="AC862" s="155"/>
    </row>
    <row r="863" ht="15.75" customHeight="1">
      <c r="A863" s="155"/>
      <c r="B863" s="155"/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  <c r="AA863" s="155"/>
      <c r="AB863" s="155"/>
      <c r="AC863" s="155"/>
    </row>
    <row r="864" ht="15.75" customHeight="1">
      <c r="A864" s="155"/>
      <c r="B864" s="155"/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  <c r="AA864" s="155"/>
      <c r="AB864" s="155"/>
      <c r="AC864" s="155"/>
    </row>
    <row r="865" ht="15.75" customHeight="1">
      <c r="A865" s="155"/>
      <c r="B865" s="155"/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  <c r="AC865" s="155"/>
    </row>
    <row r="866" ht="15.75" customHeight="1">
      <c r="A866" s="155"/>
      <c r="B866" s="155"/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</row>
    <row r="867" ht="15.75" customHeight="1">
      <c r="A867" s="155"/>
      <c r="B867" s="155"/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  <c r="AA867" s="155"/>
      <c r="AB867" s="155"/>
      <c r="AC867" s="155"/>
    </row>
    <row r="868" ht="15.75" customHeight="1">
      <c r="A868" s="155"/>
      <c r="B868" s="155"/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  <c r="AA868" s="155"/>
      <c r="AB868" s="155"/>
      <c r="AC868" s="155"/>
    </row>
    <row r="869" ht="15.75" customHeight="1">
      <c r="A869" s="155"/>
      <c r="B869" s="155"/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  <c r="AA869" s="155"/>
      <c r="AB869" s="155"/>
      <c r="AC869" s="155"/>
    </row>
    <row r="870" ht="15.75" customHeight="1">
      <c r="A870" s="155"/>
      <c r="B870" s="155"/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  <c r="AA870" s="155"/>
      <c r="AB870" s="155"/>
      <c r="AC870" s="155"/>
    </row>
    <row r="871" ht="15.75" customHeight="1">
      <c r="A871" s="155"/>
      <c r="B871" s="155"/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  <c r="AA871" s="155"/>
      <c r="AB871" s="155"/>
      <c r="AC871" s="155"/>
    </row>
    <row r="872" ht="15.75" customHeight="1">
      <c r="A872" s="155"/>
      <c r="B872" s="155"/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  <c r="AA872" s="155"/>
      <c r="AB872" s="155"/>
      <c r="AC872" s="155"/>
    </row>
    <row r="873" ht="15.75" customHeight="1">
      <c r="A873" s="155"/>
      <c r="B873" s="155"/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  <c r="AA873" s="155"/>
      <c r="AB873" s="155"/>
      <c r="AC873" s="155"/>
    </row>
    <row r="874" ht="15.75" customHeight="1">
      <c r="A874" s="155"/>
      <c r="B874" s="155"/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  <c r="AA874" s="155"/>
      <c r="AB874" s="155"/>
      <c r="AC874" s="155"/>
    </row>
    <row r="875" ht="15.75" customHeight="1">
      <c r="A875" s="155"/>
      <c r="B875" s="155"/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  <c r="AA875" s="155"/>
      <c r="AB875" s="155"/>
      <c r="AC875" s="155"/>
    </row>
    <row r="876" ht="15.75" customHeight="1">
      <c r="A876" s="155"/>
      <c r="B876" s="155"/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  <c r="AA876" s="155"/>
      <c r="AB876" s="155"/>
      <c r="AC876" s="155"/>
    </row>
    <row r="877" ht="15.75" customHeight="1">
      <c r="A877" s="155"/>
      <c r="B877" s="155"/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  <c r="AA877" s="155"/>
      <c r="AB877" s="155"/>
      <c r="AC877" s="155"/>
    </row>
    <row r="878" ht="15.75" customHeight="1">
      <c r="A878" s="155"/>
      <c r="B878" s="155"/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  <c r="AA878" s="155"/>
      <c r="AB878" s="155"/>
      <c r="AC878" s="155"/>
    </row>
    <row r="879" ht="15.75" customHeight="1">
      <c r="A879" s="155"/>
      <c r="B879" s="155"/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  <c r="AA879" s="155"/>
      <c r="AB879" s="155"/>
      <c r="AC879" s="155"/>
    </row>
    <row r="880" ht="15.75" customHeight="1">
      <c r="A880" s="155"/>
      <c r="B880" s="155"/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  <c r="AA880" s="155"/>
      <c r="AB880" s="155"/>
      <c r="AC880" s="155"/>
    </row>
    <row r="881" ht="15.75" customHeight="1">
      <c r="A881" s="155"/>
      <c r="B881" s="155"/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  <c r="AA881" s="155"/>
      <c r="AB881" s="155"/>
      <c r="AC881" s="155"/>
    </row>
    <row r="882" ht="15.75" customHeight="1">
      <c r="A882" s="155"/>
      <c r="B882" s="155"/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  <c r="AA882" s="155"/>
      <c r="AB882" s="155"/>
      <c r="AC882" s="155"/>
    </row>
    <row r="883" ht="15.75" customHeight="1">
      <c r="A883" s="155"/>
      <c r="B883" s="155"/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  <c r="AA883" s="155"/>
      <c r="AB883" s="155"/>
      <c r="AC883" s="155"/>
    </row>
    <row r="884" ht="15.75" customHeight="1">
      <c r="A884" s="155"/>
      <c r="B884" s="155"/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  <c r="AA884" s="155"/>
      <c r="AB884" s="155"/>
      <c r="AC884" s="155"/>
    </row>
    <row r="885" ht="15.75" customHeight="1">
      <c r="A885" s="155"/>
      <c r="B885" s="155"/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  <c r="AA885" s="155"/>
      <c r="AB885" s="155"/>
      <c r="AC885" s="155"/>
    </row>
    <row r="886" ht="15.75" customHeight="1">
      <c r="A886" s="155"/>
      <c r="B886" s="155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  <c r="AA886" s="155"/>
      <c r="AB886" s="155"/>
      <c r="AC886" s="155"/>
    </row>
    <row r="887" ht="15.75" customHeight="1">
      <c r="A887" s="155"/>
      <c r="B887" s="155"/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  <c r="AA887" s="155"/>
      <c r="AB887" s="155"/>
      <c r="AC887" s="155"/>
    </row>
    <row r="888" ht="15.75" customHeight="1">
      <c r="A888" s="155"/>
      <c r="B888" s="155"/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  <c r="AA888" s="155"/>
      <c r="AB888" s="155"/>
      <c r="AC888" s="155"/>
    </row>
    <row r="889" ht="15.75" customHeight="1">
      <c r="A889" s="155"/>
      <c r="B889" s="155"/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  <c r="AA889" s="155"/>
      <c r="AB889" s="155"/>
      <c r="AC889" s="155"/>
    </row>
    <row r="890" ht="15.75" customHeight="1">
      <c r="A890" s="155"/>
      <c r="B890" s="155"/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  <c r="AA890" s="155"/>
      <c r="AB890" s="155"/>
      <c r="AC890" s="155"/>
    </row>
    <row r="891" ht="15.75" customHeight="1">
      <c r="A891" s="155"/>
      <c r="B891" s="155"/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  <c r="AA891" s="155"/>
      <c r="AB891" s="155"/>
      <c r="AC891" s="155"/>
    </row>
    <row r="892" ht="15.75" customHeight="1">
      <c r="A892" s="155"/>
      <c r="B892" s="155"/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  <c r="AA892" s="155"/>
      <c r="AB892" s="155"/>
      <c r="AC892" s="155"/>
    </row>
    <row r="893" ht="15.75" customHeight="1">
      <c r="A893" s="155"/>
      <c r="B893" s="155"/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  <c r="AA893" s="155"/>
      <c r="AB893" s="155"/>
      <c r="AC893" s="155"/>
    </row>
    <row r="894" ht="15.75" customHeight="1">
      <c r="A894" s="155"/>
      <c r="B894" s="155"/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  <c r="AA894" s="155"/>
      <c r="AB894" s="155"/>
      <c r="AC894" s="155"/>
    </row>
    <row r="895" ht="15.75" customHeight="1">
      <c r="A895" s="155"/>
      <c r="B895" s="155"/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  <c r="AA895" s="155"/>
      <c r="AB895" s="155"/>
      <c r="AC895" s="155"/>
    </row>
    <row r="896" ht="15.75" customHeight="1">
      <c r="A896" s="155"/>
      <c r="B896" s="155"/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  <c r="AA896" s="155"/>
      <c r="AB896" s="155"/>
      <c r="AC896" s="155"/>
    </row>
    <row r="897" ht="15.75" customHeight="1">
      <c r="A897" s="155"/>
      <c r="B897" s="155"/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  <c r="AA897" s="155"/>
      <c r="AB897" s="155"/>
      <c r="AC897" s="155"/>
    </row>
    <row r="898" ht="15.75" customHeight="1">
      <c r="A898" s="155"/>
      <c r="B898" s="155"/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  <c r="AA898" s="155"/>
      <c r="AB898" s="155"/>
      <c r="AC898" s="155"/>
    </row>
    <row r="899" ht="15.75" customHeight="1">
      <c r="A899" s="155"/>
      <c r="B899" s="155"/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</row>
    <row r="900" ht="15.75" customHeight="1">
      <c r="A900" s="155"/>
      <c r="B900" s="155"/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  <c r="AA900" s="155"/>
      <c r="AB900" s="155"/>
      <c r="AC900" s="155"/>
    </row>
    <row r="901" ht="15.75" customHeight="1">
      <c r="A901" s="155"/>
      <c r="B901" s="155"/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  <c r="AA901" s="155"/>
      <c r="AB901" s="155"/>
      <c r="AC901" s="155"/>
    </row>
    <row r="902" ht="15.75" customHeight="1">
      <c r="A902" s="155"/>
      <c r="B902" s="155"/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  <c r="AA902" s="155"/>
      <c r="AB902" s="155"/>
      <c r="AC902" s="155"/>
    </row>
    <row r="903" ht="15.75" customHeight="1">
      <c r="A903" s="155"/>
      <c r="B903" s="155"/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  <c r="AA903" s="155"/>
      <c r="AB903" s="155"/>
      <c r="AC903" s="155"/>
    </row>
    <row r="904" ht="15.75" customHeight="1">
      <c r="A904" s="155"/>
      <c r="B904" s="155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  <c r="AA904" s="155"/>
      <c r="AB904" s="155"/>
      <c r="AC904" s="155"/>
    </row>
    <row r="905" ht="15.75" customHeight="1">
      <c r="A905" s="155"/>
      <c r="B905" s="155"/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  <c r="AA905" s="155"/>
      <c r="AB905" s="155"/>
      <c r="AC905" s="155"/>
    </row>
    <row r="906" ht="15.75" customHeight="1">
      <c r="A906" s="155"/>
      <c r="B906" s="155"/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  <c r="AA906" s="155"/>
      <c r="AB906" s="155"/>
      <c r="AC906" s="155"/>
    </row>
    <row r="907" ht="15.75" customHeight="1">
      <c r="A907" s="155"/>
      <c r="B907" s="155"/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  <c r="AA907" s="155"/>
      <c r="AB907" s="155"/>
      <c r="AC907" s="155"/>
    </row>
    <row r="908" ht="15.75" customHeight="1">
      <c r="A908" s="155"/>
      <c r="B908" s="155"/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  <c r="AA908" s="155"/>
      <c r="AB908" s="155"/>
      <c r="AC908" s="155"/>
    </row>
    <row r="909" ht="15.75" customHeight="1">
      <c r="A909" s="155"/>
      <c r="B909" s="155"/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  <c r="AA909" s="155"/>
      <c r="AB909" s="155"/>
      <c r="AC909" s="155"/>
    </row>
    <row r="910" ht="15.75" customHeight="1">
      <c r="A910" s="155"/>
      <c r="B910" s="155"/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  <c r="AA910" s="155"/>
      <c r="AB910" s="155"/>
      <c r="AC910" s="155"/>
    </row>
    <row r="911" ht="15.75" customHeight="1">
      <c r="A911" s="155"/>
      <c r="B911" s="155"/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  <c r="AA911" s="155"/>
      <c r="AB911" s="155"/>
      <c r="AC911" s="155"/>
    </row>
    <row r="912" ht="15.75" customHeight="1">
      <c r="A912" s="155"/>
      <c r="B912" s="155"/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  <c r="AA912" s="155"/>
      <c r="AB912" s="155"/>
      <c r="AC912" s="155"/>
    </row>
    <row r="913" ht="15.75" customHeight="1">
      <c r="A913" s="155"/>
      <c r="B913" s="155"/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  <c r="AA913" s="155"/>
      <c r="AB913" s="155"/>
      <c r="AC913" s="155"/>
    </row>
    <row r="914" ht="15.75" customHeight="1">
      <c r="A914" s="155"/>
      <c r="B914" s="155"/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  <c r="AA914" s="155"/>
      <c r="AB914" s="155"/>
      <c r="AC914" s="155"/>
    </row>
    <row r="915" ht="15.75" customHeight="1">
      <c r="A915" s="155"/>
      <c r="B915" s="155"/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  <c r="AA915" s="155"/>
      <c r="AB915" s="155"/>
      <c r="AC915" s="155"/>
    </row>
    <row r="916" ht="15.75" customHeight="1">
      <c r="A916" s="155"/>
      <c r="B916" s="155"/>
      <c r="C916" s="155"/>
      <c r="D916" s="155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  <c r="AA916" s="155"/>
      <c r="AB916" s="155"/>
      <c r="AC916" s="155"/>
    </row>
    <row r="917" ht="15.75" customHeight="1">
      <c r="A917" s="155"/>
      <c r="B917" s="155"/>
      <c r="C917" s="155"/>
      <c r="D917" s="155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  <c r="AA917" s="155"/>
      <c r="AB917" s="155"/>
      <c r="AC917" s="155"/>
    </row>
    <row r="918" ht="15.75" customHeight="1">
      <c r="A918" s="155"/>
      <c r="B918" s="155"/>
      <c r="C918" s="155"/>
      <c r="D918" s="155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  <c r="AA918" s="155"/>
      <c r="AB918" s="155"/>
      <c r="AC918" s="155"/>
    </row>
    <row r="919" ht="15.75" customHeight="1">
      <c r="A919" s="155"/>
      <c r="B919" s="155"/>
      <c r="C919" s="155"/>
      <c r="D919" s="155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  <c r="AA919" s="155"/>
      <c r="AB919" s="155"/>
      <c r="AC919" s="155"/>
    </row>
    <row r="920" ht="15.75" customHeight="1">
      <c r="A920" s="155"/>
      <c r="B920" s="155"/>
      <c r="C920" s="155"/>
      <c r="D920" s="155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  <c r="AA920" s="155"/>
      <c r="AB920" s="155"/>
      <c r="AC920" s="155"/>
    </row>
    <row r="921" ht="15.75" customHeight="1">
      <c r="A921" s="155"/>
      <c r="B921" s="155"/>
      <c r="C921" s="155"/>
      <c r="D921" s="155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  <c r="AA921" s="155"/>
      <c r="AB921" s="155"/>
      <c r="AC921" s="155"/>
    </row>
    <row r="922" ht="15.75" customHeight="1">
      <c r="A922" s="155"/>
      <c r="B922" s="155"/>
      <c r="C922" s="155"/>
      <c r="D922" s="155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  <c r="AA922" s="155"/>
      <c r="AB922" s="155"/>
      <c r="AC922" s="155"/>
    </row>
    <row r="923" ht="15.75" customHeight="1">
      <c r="A923" s="155"/>
      <c r="B923" s="155"/>
      <c r="C923" s="155"/>
      <c r="D923" s="155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  <c r="AA923" s="155"/>
      <c r="AB923" s="155"/>
      <c r="AC923" s="155"/>
    </row>
    <row r="924" ht="15.75" customHeight="1">
      <c r="A924" s="155"/>
      <c r="B924" s="155"/>
      <c r="C924" s="155"/>
      <c r="D924" s="155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  <c r="AA924" s="155"/>
      <c r="AB924" s="155"/>
      <c r="AC924" s="155"/>
    </row>
    <row r="925" ht="15.75" customHeight="1">
      <c r="A925" s="155"/>
      <c r="B925" s="155"/>
      <c r="C925" s="155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  <c r="AA925" s="155"/>
      <c r="AB925" s="155"/>
      <c r="AC925" s="155"/>
    </row>
    <row r="926" ht="15.75" customHeight="1">
      <c r="A926" s="155"/>
      <c r="B926" s="155"/>
      <c r="C926" s="155"/>
      <c r="D926" s="155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  <c r="AA926" s="155"/>
      <c r="AB926" s="155"/>
      <c r="AC926" s="155"/>
    </row>
    <row r="927" ht="15.75" customHeight="1">
      <c r="A927" s="155"/>
      <c r="B927" s="155"/>
      <c r="C927" s="155"/>
      <c r="D927" s="155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  <c r="AA927" s="155"/>
      <c r="AB927" s="155"/>
      <c r="AC927" s="155"/>
    </row>
    <row r="928" ht="15.75" customHeight="1">
      <c r="A928" s="155"/>
      <c r="B928" s="155"/>
      <c r="C928" s="155"/>
      <c r="D928" s="155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  <c r="AA928" s="155"/>
      <c r="AB928" s="155"/>
      <c r="AC928" s="155"/>
    </row>
    <row r="929" ht="15.75" customHeight="1">
      <c r="A929" s="155"/>
      <c r="B929" s="155"/>
      <c r="C929" s="155"/>
      <c r="D929" s="155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  <c r="AA929" s="155"/>
      <c r="AB929" s="155"/>
      <c r="AC929" s="155"/>
    </row>
    <row r="930" ht="15.75" customHeight="1">
      <c r="A930" s="155"/>
      <c r="B930" s="155"/>
      <c r="C930" s="155"/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</row>
    <row r="931" ht="15.75" customHeight="1">
      <c r="A931" s="155"/>
      <c r="B931" s="155"/>
      <c r="C931" s="155"/>
      <c r="D931" s="155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  <c r="AA931" s="155"/>
      <c r="AB931" s="155"/>
      <c r="AC931" s="155"/>
    </row>
    <row r="932" ht="15.75" customHeight="1">
      <c r="A932" s="155"/>
      <c r="B932" s="155"/>
      <c r="C932" s="155"/>
      <c r="D932" s="155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  <c r="AA932" s="155"/>
      <c r="AB932" s="155"/>
      <c r="AC932" s="155"/>
    </row>
    <row r="933" ht="15.75" customHeight="1">
      <c r="A933" s="155"/>
      <c r="B933" s="155"/>
      <c r="C933" s="155"/>
      <c r="D933" s="155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  <c r="AA933" s="155"/>
      <c r="AB933" s="155"/>
      <c r="AC933" s="155"/>
    </row>
    <row r="934" ht="15.75" customHeight="1">
      <c r="A934" s="155"/>
      <c r="B934" s="155"/>
      <c r="C934" s="155"/>
      <c r="D934" s="155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  <c r="AA934" s="155"/>
      <c r="AB934" s="155"/>
      <c r="AC934" s="155"/>
    </row>
    <row r="935" ht="15.75" customHeight="1">
      <c r="A935" s="155"/>
      <c r="B935" s="155"/>
      <c r="C935" s="155"/>
      <c r="D935" s="155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  <c r="AA935" s="155"/>
      <c r="AB935" s="155"/>
      <c r="AC935" s="155"/>
    </row>
    <row r="936" ht="15.75" customHeight="1">
      <c r="A936" s="155"/>
      <c r="B936" s="155"/>
      <c r="C936" s="155"/>
      <c r="D936" s="155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  <c r="AA936" s="155"/>
      <c r="AB936" s="155"/>
      <c r="AC936" s="155"/>
    </row>
    <row r="937" ht="15.75" customHeight="1">
      <c r="A937" s="155"/>
      <c r="B937" s="155"/>
      <c r="C937" s="155"/>
      <c r="D937" s="155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  <c r="AA937" s="155"/>
      <c r="AB937" s="155"/>
      <c r="AC937" s="155"/>
    </row>
    <row r="938" ht="15.75" customHeight="1">
      <c r="A938" s="155"/>
      <c r="B938" s="155"/>
      <c r="C938" s="155"/>
      <c r="D938" s="155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  <c r="AA938" s="155"/>
      <c r="AB938" s="155"/>
      <c r="AC938" s="155"/>
    </row>
    <row r="939" ht="15.75" customHeight="1">
      <c r="A939" s="155"/>
      <c r="B939" s="155"/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  <c r="AA939" s="155"/>
      <c r="AB939" s="155"/>
      <c r="AC939" s="155"/>
    </row>
    <row r="940" ht="15.75" customHeight="1">
      <c r="A940" s="155"/>
      <c r="B940" s="155"/>
      <c r="C940" s="155"/>
      <c r="D940" s="155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  <c r="AA940" s="155"/>
      <c r="AB940" s="155"/>
      <c r="AC940" s="155"/>
    </row>
    <row r="941" ht="15.75" customHeight="1">
      <c r="A941" s="155"/>
      <c r="B941" s="155"/>
      <c r="C941" s="155"/>
      <c r="D941" s="155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  <c r="AA941" s="155"/>
      <c r="AB941" s="155"/>
      <c r="AC941" s="155"/>
    </row>
    <row r="942" ht="15.75" customHeight="1">
      <c r="A942" s="155"/>
      <c r="B942" s="155"/>
      <c r="C942" s="155"/>
      <c r="D942" s="155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  <c r="AA942" s="155"/>
      <c r="AB942" s="155"/>
      <c r="AC942" s="155"/>
    </row>
    <row r="943" ht="15.75" customHeight="1">
      <c r="A943" s="155"/>
      <c r="B943" s="155"/>
      <c r="C943" s="155"/>
      <c r="D943" s="155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  <c r="AA943" s="155"/>
      <c r="AB943" s="155"/>
      <c r="AC943" s="155"/>
    </row>
    <row r="944" ht="15.75" customHeight="1">
      <c r="A944" s="155"/>
      <c r="B944" s="155"/>
      <c r="C944" s="155"/>
      <c r="D944" s="155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  <c r="AA944" s="155"/>
      <c r="AB944" s="155"/>
      <c r="AC944" s="155"/>
    </row>
    <row r="945" ht="15.75" customHeight="1">
      <c r="A945" s="155"/>
      <c r="B945" s="155"/>
      <c r="C945" s="155"/>
      <c r="D945" s="155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  <c r="AA945" s="155"/>
      <c r="AB945" s="155"/>
      <c r="AC945" s="155"/>
    </row>
    <row r="946" ht="15.75" customHeight="1">
      <c r="A946" s="155"/>
      <c r="B946" s="155"/>
      <c r="C946" s="155"/>
      <c r="D946" s="155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  <c r="AA946" s="155"/>
      <c r="AB946" s="155"/>
      <c r="AC946" s="155"/>
    </row>
    <row r="947" ht="15.75" customHeight="1">
      <c r="A947" s="155"/>
      <c r="B947" s="155"/>
      <c r="C947" s="155"/>
      <c r="D947" s="155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  <c r="AA947" s="155"/>
      <c r="AB947" s="155"/>
      <c r="AC947" s="155"/>
    </row>
    <row r="948" ht="15.75" customHeight="1">
      <c r="A948" s="155"/>
      <c r="B948" s="155"/>
      <c r="C948" s="155"/>
      <c r="D948" s="155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  <c r="AA948" s="155"/>
      <c r="AB948" s="155"/>
      <c r="AC948" s="155"/>
    </row>
    <row r="949" ht="15.75" customHeight="1">
      <c r="A949" s="155"/>
      <c r="B949" s="155"/>
      <c r="C949" s="155"/>
      <c r="D949" s="155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  <c r="AA949" s="155"/>
      <c r="AB949" s="155"/>
      <c r="AC949" s="155"/>
    </row>
    <row r="950" ht="15.75" customHeight="1">
      <c r="A950" s="155"/>
      <c r="B950" s="155"/>
      <c r="C950" s="155"/>
      <c r="D950" s="155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  <c r="AA950" s="155"/>
      <c r="AB950" s="155"/>
      <c r="AC950" s="155"/>
    </row>
    <row r="951" ht="15.75" customHeight="1">
      <c r="A951" s="155"/>
      <c r="B951" s="155"/>
      <c r="C951" s="155"/>
      <c r="D951" s="155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  <c r="AA951" s="155"/>
      <c r="AB951" s="155"/>
      <c r="AC951" s="155"/>
    </row>
    <row r="952" ht="15.75" customHeight="1">
      <c r="A952" s="155"/>
      <c r="B952" s="155"/>
      <c r="C952" s="155"/>
      <c r="D952" s="155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  <c r="AA952" s="155"/>
      <c r="AB952" s="155"/>
      <c r="AC952" s="155"/>
    </row>
    <row r="953" ht="15.75" customHeight="1">
      <c r="A953" s="155"/>
      <c r="B953" s="155"/>
      <c r="C953" s="155"/>
      <c r="D953" s="155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  <c r="AA953" s="155"/>
      <c r="AB953" s="155"/>
      <c r="AC953" s="155"/>
    </row>
    <row r="954" ht="15.75" customHeight="1">
      <c r="A954" s="155"/>
      <c r="B954" s="155"/>
      <c r="C954" s="155"/>
      <c r="D954" s="155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  <c r="AA954" s="155"/>
      <c r="AB954" s="155"/>
      <c r="AC954" s="155"/>
    </row>
    <row r="955" ht="15.75" customHeight="1">
      <c r="A955" s="155"/>
      <c r="B955" s="155"/>
      <c r="C955" s="155"/>
      <c r="D955" s="155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  <c r="AA955" s="155"/>
      <c r="AB955" s="155"/>
      <c r="AC955" s="155"/>
    </row>
    <row r="956" ht="15.75" customHeight="1">
      <c r="A956" s="155"/>
      <c r="B956" s="155"/>
      <c r="C956" s="155"/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  <c r="AA956" s="155"/>
      <c r="AB956" s="155"/>
      <c r="AC956" s="155"/>
    </row>
    <row r="957" ht="15.75" customHeight="1">
      <c r="A957" s="155"/>
      <c r="B957" s="155"/>
      <c r="C957" s="155"/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  <c r="AA957" s="155"/>
      <c r="AB957" s="155"/>
      <c r="AC957" s="155"/>
    </row>
    <row r="958" ht="15.75" customHeight="1">
      <c r="A958" s="155"/>
      <c r="B958" s="155"/>
      <c r="C958" s="155"/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  <c r="AA958" s="155"/>
      <c r="AB958" s="155"/>
      <c r="AC958" s="155"/>
    </row>
    <row r="959" ht="15.75" customHeight="1">
      <c r="A959" s="155"/>
      <c r="B959" s="155"/>
      <c r="C959" s="155"/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  <c r="AA959" s="155"/>
      <c r="AB959" s="155"/>
      <c r="AC959" s="155"/>
    </row>
    <row r="960" ht="15.75" customHeight="1">
      <c r="A960" s="155"/>
      <c r="B960" s="155"/>
      <c r="C960" s="155"/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  <c r="AA960" s="155"/>
      <c r="AB960" s="155"/>
      <c r="AC960" s="155"/>
    </row>
    <row r="961" ht="15.75" customHeight="1">
      <c r="A961" s="155"/>
      <c r="B961" s="155"/>
      <c r="C961" s="155"/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  <c r="AA961" s="155"/>
      <c r="AB961" s="155"/>
      <c r="AC961" s="155"/>
    </row>
    <row r="962" ht="15.75" customHeight="1">
      <c r="A962" s="155"/>
      <c r="B962" s="155"/>
      <c r="C962" s="155"/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  <c r="AA962" s="155"/>
      <c r="AB962" s="155"/>
      <c r="AC962" s="155"/>
    </row>
    <row r="963" ht="15.75" customHeight="1">
      <c r="A963" s="155"/>
      <c r="B963" s="155"/>
      <c r="C963" s="155"/>
      <c r="D963" s="155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  <c r="AA963" s="155"/>
      <c r="AB963" s="155"/>
      <c r="AC963" s="155"/>
    </row>
    <row r="964" ht="15.75" customHeight="1">
      <c r="A964" s="155"/>
      <c r="B964" s="155"/>
      <c r="C964" s="155"/>
      <c r="D964" s="155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  <c r="AA964" s="155"/>
      <c r="AB964" s="155"/>
      <c r="AC964" s="155"/>
    </row>
    <row r="965" ht="15.75" customHeight="1">
      <c r="A965" s="155"/>
      <c r="B965" s="155"/>
      <c r="C965" s="155"/>
      <c r="D965" s="155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  <c r="AA965" s="155"/>
      <c r="AB965" s="155"/>
      <c r="AC965" s="155"/>
    </row>
    <row r="966" ht="15.75" customHeight="1">
      <c r="A966" s="155"/>
      <c r="B966" s="155"/>
      <c r="C966" s="155"/>
      <c r="D966" s="155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  <c r="AA966" s="155"/>
      <c r="AB966" s="155"/>
      <c r="AC966" s="155"/>
    </row>
    <row r="967" ht="15.75" customHeight="1">
      <c r="A967" s="155"/>
      <c r="B967" s="155"/>
      <c r="C967" s="155"/>
      <c r="D967" s="155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  <c r="AA967" s="155"/>
      <c r="AB967" s="155"/>
      <c r="AC967" s="155"/>
    </row>
    <row r="968" ht="15.75" customHeight="1">
      <c r="A968" s="155"/>
      <c r="B968" s="155"/>
      <c r="C968" s="155"/>
      <c r="D968" s="155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  <c r="AA968" s="155"/>
      <c r="AB968" s="155"/>
      <c r="AC968" s="155"/>
    </row>
    <row r="969" ht="15.75" customHeight="1">
      <c r="A969" s="155"/>
      <c r="B969" s="155"/>
      <c r="C969" s="155"/>
      <c r="D969" s="155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  <c r="AA969" s="155"/>
      <c r="AB969" s="155"/>
      <c r="AC969" s="155"/>
    </row>
    <row r="970" ht="15.75" customHeight="1">
      <c r="A970" s="155"/>
      <c r="B970" s="155"/>
      <c r="C970" s="155"/>
      <c r="D970" s="155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  <c r="AA970" s="155"/>
      <c r="AB970" s="155"/>
      <c r="AC970" s="155"/>
    </row>
    <row r="971" ht="15.75" customHeight="1">
      <c r="A971" s="155"/>
      <c r="B971" s="155"/>
      <c r="C971" s="155"/>
      <c r="D971" s="155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  <c r="AA971" s="155"/>
      <c r="AB971" s="155"/>
      <c r="AC971" s="155"/>
    </row>
    <row r="972" ht="15.75" customHeight="1">
      <c r="A972" s="155"/>
      <c r="B972" s="155"/>
      <c r="C972" s="155"/>
      <c r="D972" s="155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  <c r="AA972" s="155"/>
      <c r="AB972" s="155"/>
      <c r="AC972" s="155"/>
    </row>
    <row r="973" ht="15.75" customHeight="1">
      <c r="A973" s="155"/>
      <c r="B973" s="155"/>
      <c r="C973" s="155"/>
      <c r="D973" s="155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  <c r="AA973" s="155"/>
      <c r="AB973" s="155"/>
      <c r="AC973" s="155"/>
    </row>
    <row r="974" ht="15.75" customHeight="1">
      <c r="A974" s="155"/>
      <c r="B974" s="155"/>
      <c r="C974" s="155"/>
      <c r="D974" s="155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  <c r="AA974" s="155"/>
      <c r="AB974" s="155"/>
      <c r="AC974" s="155"/>
    </row>
    <row r="975" ht="15.75" customHeight="1">
      <c r="A975" s="155"/>
      <c r="B975" s="155"/>
      <c r="C975" s="155"/>
      <c r="D975" s="155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  <c r="AA975" s="155"/>
      <c r="AB975" s="155"/>
      <c r="AC975" s="155"/>
    </row>
    <row r="976" ht="15.75" customHeight="1">
      <c r="A976" s="155"/>
      <c r="B976" s="155"/>
      <c r="C976" s="155"/>
      <c r="D976" s="155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  <c r="AA976" s="155"/>
      <c r="AB976" s="155"/>
      <c r="AC976" s="155"/>
    </row>
    <row r="977" ht="15.75" customHeight="1">
      <c r="A977" s="155"/>
      <c r="B977" s="155"/>
      <c r="C977" s="155"/>
      <c r="D977" s="155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  <c r="AA977" s="155"/>
      <c r="AB977" s="155"/>
      <c r="AC977" s="155"/>
    </row>
    <row r="978" ht="15.75" customHeight="1">
      <c r="A978" s="155"/>
      <c r="B978" s="155"/>
      <c r="C978" s="155"/>
      <c r="D978" s="155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  <c r="AA978" s="155"/>
      <c r="AB978" s="155"/>
      <c r="AC978" s="155"/>
    </row>
    <row r="979" ht="15.75" customHeight="1">
      <c r="A979" s="155"/>
      <c r="B979" s="155"/>
      <c r="C979" s="155"/>
      <c r="D979" s="155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  <c r="AA979" s="155"/>
      <c r="AB979" s="155"/>
      <c r="AC979" s="155"/>
    </row>
    <row r="980" ht="15.75" customHeight="1">
      <c r="A980" s="155"/>
      <c r="B980" s="155"/>
      <c r="C980" s="155"/>
      <c r="D980" s="155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  <c r="AA980" s="155"/>
      <c r="AB980" s="155"/>
      <c r="AC980" s="155"/>
    </row>
    <row r="981" ht="15.75" customHeight="1">
      <c r="A981" s="155"/>
      <c r="B981" s="155"/>
      <c r="C981" s="155"/>
      <c r="D981" s="155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  <c r="AA981" s="155"/>
      <c r="AB981" s="155"/>
      <c r="AC981" s="155"/>
    </row>
    <row r="982" ht="15.75" customHeight="1">
      <c r="A982" s="155"/>
      <c r="B982" s="155"/>
      <c r="C982" s="155"/>
      <c r="D982" s="155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  <c r="AA982" s="155"/>
      <c r="AB982" s="155"/>
      <c r="AC982" s="155"/>
    </row>
    <row r="983" ht="15.75" customHeight="1">
      <c r="A983" s="155"/>
      <c r="B983" s="155"/>
      <c r="C983" s="155"/>
      <c r="D983" s="155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  <c r="AA983" s="155"/>
      <c r="AB983" s="155"/>
      <c r="AC983" s="155"/>
    </row>
    <row r="984" ht="15.75" customHeight="1">
      <c r="A984" s="155"/>
      <c r="B984" s="155"/>
      <c r="C984" s="155"/>
      <c r="D984" s="155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  <c r="AA984" s="155"/>
      <c r="AB984" s="155"/>
      <c r="AC984" s="155"/>
    </row>
    <row r="985" ht="15.75" customHeight="1">
      <c r="A985" s="155"/>
      <c r="B985" s="155"/>
      <c r="C985" s="155"/>
      <c r="D985" s="155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  <c r="AA985" s="155"/>
      <c r="AB985" s="155"/>
      <c r="AC985" s="155"/>
    </row>
    <row r="986" ht="15.75" customHeight="1">
      <c r="A986" s="155"/>
      <c r="B986" s="155"/>
      <c r="C986" s="155"/>
      <c r="D986" s="155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  <c r="AA986" s="155"/>
      <c r="AB986" s="155"/>
      <c r="AC986" s="155"/>
    </row>
    <row r="987" ht="15.75" customHeight="1">
      <c r="A987" s="155"/>
      <c r="B987" s="155"/>
      <c r="C987" s="155"/>
      <c r="D987" s="155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  <c r="AA987" s="155"/>
      <c r="AB987" s="155"/>
      <c r="AC987" s="155"/>
    </row>
    <row r="988" ht="15.75" customHeight="1">
      <c r="A988" s="155"/>
      <c r="B988" s="155"/>
      <c r="C988" s="155"/>
      <c r="D988" s="155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  <c r="AA988" s="155"/>
      <c r="AB988" s="155"/>
      <c r="AC988" s="155"/>
    </row>
    <row r="989" ht="15.75" customHeight="1">
      <c r="A989" s="155"/>
      <c r="B989" s="155"/>
      <c r="C989" s="155"/>
      <c r="D989" s="155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  <c r="AA989" s="155"/>
      <c r="AB989" s="155"/>
      <c r="AC989" s="155"/>
    </row>
    <row r="990" ht="15.75" customHeight="1">
      <c r="A990" s="155"/>
      <c r="B990" s="155"/>
      <c r="C990" s="155"/>
      <c r="D990" s="155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  <c r="AA990" s="155"/>
      <c r="AB990" s="155"/>
      <c r="AC990" s="155"/>
    </row>
    <row r="991" ht="15.75" customHeight="1">
      <c r="A991" s="155"/>
      <c r="B991" s="155"/>
      <c r="C991" s="155"/>
      <c r="D991" s="155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  <c r="AA991" s="155"/>
      <c r="AB991" s="155"/>
      <c r="AC991" s="155"/>
    </row>
    <row r="992" ht="15.75" customHeight="1">
      <c r="A992" s="155"/>
      <c r="B992" s="155"/>
      <c r="C992" s="155"/>
      <c r="D992" s="155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  <c r="AA992" s="155"/>
      <c r="AB992" s="155"/>
      <c r="AC992" s="155"/>
    </row>
    <row r="993" ht="15.75" customHeight="1">
      <c r="A993" s="155"/>
      <c r="B993" s="155"/>
      <c r="C993" s="155"/>
      <c r="D993" s="155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  <c r="AA993" s="155"/>
      <c r="AB993" s="155"/>
      <c r="AC993" s="155"/>
    </row>
    <row r="994" ht="15.75" customHeight="1">
      <c r="A994" s="155"/>
      <c r="B994" s="155"/>
      <c r="C994" s="155"/>
      <c r="D994" s="155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  <c r="AA994" s="155"/>
      <c r="AB994" s="155"/>
      <c r="AC994" s="155"/>
    </row>
    <row r="995" ht="15.75" customHeight="1">
      <c r="A995" s="155"/>
      <c r="B995" s="155"/>
      <c r="C995" s="155"/>
      <c r="D995" s="155"/>
      <c r="E995" s="155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  <c r="AA995" s="155"/>
      <c r="AB995" s="155"/>
      <c r="AC995" s="155"/>
    </row>
    <row r="996" ht="15.75" customHeight="1">
      <c r="A996" s="155"/>
      <c r="B996" s="155"/>
      <c r="C996" s="155"/>
      <c r="D996" s="155"/>
      <c r="E996" s="155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  <c r="AA996" s="155"/>
      <c r="AB996" s="155"/>
      <c r="AC996" s="155"/>
    </row>
    <row r="997" ht="15.75" customHeight="1">
      <c r="A997" s="155"/>
      <c r="B997" s="155"/>
      <c r="C997" s="155"/>
      <c r="D997" s="155"/>
      <c r="E997" s="155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  <c r="AA997" s="155"/>
      <c r="AB997" s="155"/>
      <c r="AC997" s="155"/>
    </row>
    <row r="998" ht="15.75" customHeight="1">
      <c r="A998" s="155"/>
      <c r="B998" s="155"/>
      <c r="C998" s="155"/>
      <c r="D998" s="155"/>
      <c r="E998" s="155"/>
      <c r="F998" s="155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  <c r="AA998" s="155"/>
      <c r="AB998" s="155"/>
      <c r="AC998" s="155"/>
    </row>
    <row r="999" ht="15.75" customHeight="1">
      <c r="A999" s="155"/>
      <c r="B999" s="155"/>
      <c r="C999" s="155"/>
      <c r="D999" s="155"/>
      <c r="E999" s="155"/>
      <c r="F999" s="155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  <c r="AA999" s="155"/>
      <c r="AB999" s="155"/>
      <c r="AC999" s="155"/>
    </row>
    <row r="1000" ht="15.75" customHeight="1">
      <c r="A1000" s="155"/>
      <c r="B1000" s="155"/>
      <c r="C1000" s="155"/>
      <c r="D1000" s="155"/>
      <c r="E1000" s="155"/>
      <c r="F1000" s="155"/>
      <c r="G1000" s="155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  <c r="AA1000" s="155"/>
      <c r="AB1000" s="155"/>
      <c r="AC1000" s="155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8 F3:F8 L3:L8 O3:O8 R3:R8 U3:U8 X3:X8 AA3:AA8 AC3:AC8">
    <cfRule type="cellIs" dxfId="0" priority="1" operator="greaterThanOrEqual">
      <formula>4.7</formula>
    </cfRule>
  </conditionalFormatting>
  <conditionalFormatting sqref="C3:C8 F3:F8 L3:L8 O3:O8 R3:R8 U3:U8 X3:X8 AA3:AA8 AC3:AC8">
    <cfRule type="expression" dxfId="1" priority="2">
      <formula>AND(C3&lt;4.7 , C3&gt;=3.7)</formula>
    </cfRule>
  </conditionalFormatting>
  <conditionalFormatting sqref="C3:C8 F3:F8 L3:L8 O3:O8 R3:R8 U3:U8 X3:X8 AA3:AA8 AC3:AC8">
    <cfRule type="expression" dxfId="2" priority="3">
      <formula>AND(C3&lt;3.7 , C3&gt;=2.7)</formula>
    </cfRule>
  </conditionalFormatting>
  <conditionalFormatting sqref="C3:C8 F3:F8 L3:L8 O3:O8 R3:R8 U3:U8 X3:X8 AA3:AA8 AC3:AC8">
    <cfRule type="expression" dxfId="3" priority="4">
      <formula>AND(C3&lt;2.7,C3&gt;=1.7)</formula>
    </cfRule>
  </conditionalFormatting>
  <conditionalFormatting sqref="C3:C8 F3:F8 L3:L8 O3:O8 R3:R8 U3:U8 X3:X8 AA3:AA8 AC3:AC8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60" t="s">
        <v>139</v>
      </c>
      <c r="B1" s="160" t="s">
        <v>140</v>
      </c>
      <c r="C1" s="161" t="s">
        <v>141</v>
      </c>
      <c r="D1" s="161" t="s">
        <v>10</v>
      </c>
      <c r="E1" s="161" t="s">
        <v>17</v>
      </c>
      <c r="F1" s="161" t="s">
        <v>33</v>
      </c>
      <c r="G1" s="161" t="s">
        <v>41</v>
      </c>
      <c r="H1" s="161" t="s">
        <v>127</v>
      </c>
      <c r="I1" s="161" t="s">
        <v>66</v>
      </c>
      <c r="J1" s="160" t="s">
        <v>142</v>
      </c>
      <c r="K1" s="160" t="s">
        <v>59</v>
      </c>
    </row>
    <row r="2">
      <c r="A2" s="162" t="s">
        <v>131</v>
      </c>
      <c r="B2" s="106">
        <f>'Weekly Store Scorecards '!AC3</f>
        <v>2.2965</v>
      </c>
      <c r="C2" s="163" t="str">
        <f t="shared" ref="C2:C6" si="1">IFS(B2&lt;1.7,"Non", B2&lt;2.7,"Low", B2&lt;3.7,"Contributor", B2&lt;4.7,"High", TRUE,"STAR")</f>
        <v>Low</v>
      </c>
      <c r="D2" s="164">
        <f>'Weekly Store Scorecards '!B3</f>
        <v>0.8053074535</v>
      </c>
      <c r="E2" s="164">
        <f>'Weekly Store Scorecards '!E3</f>
        <v>0.754578293</v>
      </c>
      <c r="F2" s="165">
        <f>'Weekly Store Scorecards '!K3</f>
        <v>-0.5</v>
      </c>
      <c r="G2" s="166">
        <f>'Weekly Store Scorecards '!N3</f>
        <v>4.7</v>
      </c>
      <c r="H2" s="167">
        <f>'Weekly Store Scorecards '!Q3</f>
        <v>4.3</v>
      </c>
      <c r="I2" s="168">
        <f>'Weekly Store Scorecards '!Z3</f>
        <v>4.3</v>
      </c>
      <c r="J2" s="169">
        <f>'Weekly Store Scorecards '!T3</f>
        <v>0.0381</v>
      </c>
      <c r="K2" s="170">
        <f>'Weekly Store Scorecards '!W3</f>
        <v>2.48</v>
      </c>
    </row>
    <row r="3">
      <c r="A3" s="171" t="s">
        <v>132</v>
      </c>
      <c r="B3" s="106">
        <f>'Weekly Store Scorecards '!AC4</f>
        <v>2.813</v>
      </c>
      <c r="C3" s="163" t="str">
        <f t="shared" si="1"/>
        <v>Contributor</v>
      </c>
      <c r="D3" s="172">
        <f>'Weekly Store Scorecards '!B4</f>
        <v>1.057140652</v>
      </c>
      <c r="E3" s="172">
        <f>'Weekly Store Scorecards '!E4</f>
        <v>1.481524028</v>
      </c>
      <c r="F3" s="173">
        <f>'Weekly Store Scorecards '!K4</f>
        <v>-5.9</v>
      </c>
      <c r="G3" s="174">
        <f>'Weekly Store Scorecards '!N4</f>
        <v>1.6</v>
      </c>
      <c r="H3" s="175">
        <f>'Weekly Store Scorecards '!Q4</f>
        <v>2</v>
      </c>
      <c r="I3" s="168">
        <f>'Weekly Store Scorecards '!Z4</f>
        <v>4.3</v>
      </c>
      <c r="J3" s="176">
        <f>'Weekly Store Scorecards '!T4</f>
        <v>0.0074</v>
      </c>
      <c r="K3" s="170">
        <f>'Weekly Store Scorecards '!W4</f>
        <v>2.02</v>
      </c>
    </row>
    <row r="4">
      <c r="A4" s="171" t="s">
        <v>133</v>
      </c>
      <c r="B4" s="106">
        <f>'Weekly Store Scorecards '!AC5</f>
        <v>2.3905</v>
      </c>
      <c r="C4" s="163" t="str">
        <f t="shared" si="1"/>
        <v>Low</v>
      </c>
      <c r="D4" s="164">
        <f>'Weekly Store Scorecards '!B5</f>
        <v>0.7913728096</v>
      </c>
      <c r="E4" s="172">
        <f>'Weekly Store Scorecards '!E5</f>
        <v>1.196082061</v>
      </c>
      <c r="F4" s="165">
        <f>'Weekly Store Scorecards '!K5</f>
        <v>0</v>
      </c>
      <c r="G4" s="177">
        <f>'Weekly Store Scorecards '!N5</f>
        <v>1.3</v>
      </c>
      <c r="H4" s="175">
        <f>'Weekly Store Scorecards '!Q5</f>
        <v>1.5</v>
      </c>
      <c r="I4" s="178">
        <f>'Weekly Store Scorecards '!Z5</f>
        <v>4.6</v>
      </c>
      <c r="J4" s="169">
        <f>'Weekly Store Scorecards '!T5</f>
        <v>0.0292</v>
      </c>
      <c r="K4" s="179">
        <f>'Weekly Store Scorecards '!W5</f>
        <v>1.2</v>
      </c>
    </row>
    <row r="5">
      <c r="A5" s="171" t="s">
        <v>134</v>
      </c>
      <c r="B5" s="106">
        <f>'Weekly Store Scorecards '!AC6</f>
        <v>1.4635</v>
      </c>
      <c r="C5" s="163" t="str">
        <f t="shared" si="1"/>
        <v>Non</v>
      </c>
      <c r="D5" s="164">
        <f>'Weekly Store Scorecards '!B6</f>
        <v>0.8703104349</v>
      </c>
      <c r="E5" s="180">
        <f>'Weekly Store Scorecards '!E6</f>
        <v>1.021909008</v>
      </c>
      <c r="F5" s="166">
        <f>'Weekly Store Scorecards '!K6</f>
        <v>3.2</v>
      </c>
      <c r="G5" s="166">
        <f>'Weekly Store Scorecards '!N6</f>
        <v>2.7</v>
      </c>
      <c r="H5" s="175">
        <f>'Weekly Store Scorecards '!Q6</f>
        <v>3</v>
      </c>
      <c r="I5" s="178">
        <f>'Weekly Store Scorecards '!Z6</f>
        <v>4.5</v>
      </c>
      <c r="J5" s="181">
        <f>'Weekly Store Scorecards '!T6</f>
        <v>0.0222</v>
      </c>
      <c r="K5" s="182">
        <f>'Weekly Store Scorecards '!W6</f>
        <v>1.17</v>
      </c>
    </row>
    <row r="6">
      <c r="A6" s="162" t="s">
        <v>135</v>
      </c>
      <c r="B6" s="106">
        <f>'Weekly Store Scorecards '!AC7</f>
        <v>2.823</v>
      </c>
      <c r="C6" s="163" t="str">
        <f t="shared" si="1"/>
        <v>Contributor</v>
      </c>
      <c r="D6" s="164">
        <f>'Weekly Store Scorecards '!B7</f>
        <v>0.7840265131</v>
      </c>
      <c r="E6" s="183">
        <f>'Weekly Store Scorecards '!E7</f>
        <v>1.084955287</v>
      </c>
      <c r="F6" s="166">
        <f>'Weekly Store Scorecards '!K7</f>
        <v>4.5</v>
      </c>
      <c r="G6" s="174">
        <f>'Weekly Store Scorecards '!N7</f>
        <v>2</v>
      </c>
      <c r="H6" s="184">
        <f>'Weekly Store Scorecards '!Q7</f>
        <v>5</v>
      </c>
      <c r="I6" s="185">
        <f>'Weekly Store Scorecards '!Z7</f>
        <v>4</v>
      </c>
      <c r="J6" s="181">
        <f>'Weekly Store Scorecards '!T7</f>
        <v>0.027</v>
      </c>
      <c r="K6" s="179">
        <f>'Weekly Store Scorecards '!W7</f>
        <v>1.65</v>
      </c>
    </row>
    <row r="7">
      <c r="A7" s="186" t="s">
        <v>136</v>
      </c>
      <c r="B7" s="134">
        <f>'Weekly Store Scorecards '!AC8</f>
        <v>2.805</v>
      </c>
      <c r="C7" s="187"/>
      <c r="D7" s="188">
        <f>'Weekly Store Scorecards '!B8</f>
        <v>0.853896842</v>
      </c>
      <c r="E7" s="189">
        <f>'Weekly Store Scorecards '!E8</f>
        <v>1.107363436</v>
      </c>
      <c r="F7" s="190">
        <f>'Weekly Store Scorecards '!K8</f>
        <v>0</v>
      </c>
      <c r="G7" s="191">
        <f>'Weekly Store Scorecards '!N8</f>
        <v>2.2</v>
      </c>
      <c r="H7" s="192">
        <f>'Weekly Store Scorecards '!Q8</f>
        <v>4.14</v>
      </c>
      <c r="I7" s="193">
        <f>'Weekly Store Scorecards '!Z8</f>
        <v>4.34</v>
      </c>
      <c r="J7" s="194">
        <f>'Weekly Store Scorecards '!T8</f>
        <v>0.02478</v>
      </c>
      <c r="K7" s="195">
        <f>'Weekly Store Scorecards '!W8</f>
        <v>1.53</v>
      </c>
    </row>
    <row r="8">
      <c r="A8" s="196"/>
      <c r="B8" s="197"/>
      <c r="C8" s="197"/>
      <c r="D8" s="197"/>
      <c r="E8" s="197"/>
      <c r="F8" s="197"/>
      <c r="G8" s="197"/>
      <c r="H8" s="197"/>
      <c r="I8" s="197"/>
      <c r="J8" s="197"/>
      <c r="K8" s="197"/>
    </row>
    <row r="9">
      <c r="A9" s="198"/>
      <c r="B9" s="199"/>
      <c r="C9" s="197"/>
      <c r="D9" s="197"/>
      <c r="E9" s="197"/>
      <c r="F9" s="197"/>
      <c r="G9" s="197"/>
      <c r="H9" s="197"/>
      <c r="I9" s="197"/>
      <c r="J9" s="197"/>
      <c r="K9" s="197"/>
    </row>
    <row r="10">
      <c r="A10" s="200"/>
      <c r="B10" s="201"/>
      <c r="C10" s="202"/>
      <c r="D10" s="201"/>
      <c r="E10" s="201"/>
      <c r="F10" s="201"/>
      <c r="G10" s="201"/>
      <c r="H10" s="201"/>
      <c r="I10" s="201"/>
      <c r="J10" s="201"/>
      <c r="K10" s="202"/>
    </row>
    <row r="11">
      <c r="A11" s="203"/>
      <c r="B11" s="204"/>
      <c r="C11" s="204"/>
      <c r="D11" s="201"/>
      <c r="E11" s="201"/>
      <c r="F11" s="201"/>
      <c r="G11" s="201"/>
      <c r="H11" s="201"/>
      <c r="I11" s="201"/>
      <c r="J11" s="204"/>
      <c r="K11" s="204"/>
    </row>
    <row r="12">
      <c r="A12" s="203"/>
      <c r="B12" s="204"/>
      <c r="C12" s="204"/>
      <c r="D12" s="201"/>
      <c r="E12" s="201"/>
      <c r="F12" s="201"/>
      <c r="G12" s="201"/>
      <c r="H12" s="201"/>
      <c r="I12" s="201"/>
      <c r="J12" s="204"/>
      <c r="K12" s="204"/>
    </row>
    <row r="13">
      <c r="A13" s="203"/>
      <c r="B13" s="204"/>
      <c r="C13" s="204"/>
      <c r="D13" s="201"/>
      <c r="E13" s="201"/>
      <c r="F13" s="201"/>
      <c r="G13" s="201"/>
      <c r="H13" s="201"/>
      <c r="I13" s="201"/>
      <c r="J13" s="204"/>
      <c r="K13" s="204"/>
    </row>
    <row r="14">
      <c r="A14" s="203"/>
      <c r="B14" s="204"/>
      <c r="C14" s="204"/>
      <c r="D14" s="201"/>
      <c r="E14" s="201"/>
      <c r="F14" s="201"/>
      <c r="G14" s="201"/>
      <c r="H14" s="201"/>
      <c r="I14" s="201"/>
      <c r="J14" s="204"/>
      <c r="K14" s="204"/>
    </row>
    <row r="15">
      <c r="A15" s="203"/>
      <c r="B15" s="204"/>
      <c r="C15" s="204"/>
      <c r="D15" s="201"/>
      <c r="E15" s="201"/>
      <c r="F15" s="201"/>
      <c r="G15" s="201"/>
      <c r="H15" s="201"/>
      <c r="I15" s="201"/>
      <c r="J15" s="204"/>
      <c r="K15" s="204"/>
    </row>
    <row r="16">
      <c r="A16" s="203"/>
      <c r="B16" s="204"/>
      <c r="C16" s="204"/>
      <c r="D16" s="201"/>
      <c r="E16" s="201"/>
      <c r="F16" s="201"/>
      <c r="G16" s="201"/>
      <c r="H16" s="201"/>
      <c r="I16" s="201"/>
      <c r="J16" s="204"/>
      <c r="K16" s="204"/>
    </row>
    <row r="17">
      <c r="A17" s="203"/>
      <c r="B17" s="204"/>
      <c r="C17" s="204"/>
      <c r="D17" s="201"/>
      <c r="E17" s="201"/>
      <c r="F17" s="201"/>
      <c r="G17" s="201"/>
      <c r="H17" s="201"/>
      <c r="I17" s="201"/>
      <c r="J17" s="204"/>
      <c r="K17" s="204"/>
    </row>
    <row r="18">
      <c r="A18" s="203"/>
      <c r="B18" s="204"/>
      <c r="C18" s="204"/>
      <c r="D18" s="201"/>
      <c r="E18" s="201"/>
      <c r="F18" s="201"/>
      <c r="G18" s="201"/>
      <c r="H18" s="201"/>
      <c r="I18" s="201"/>
      <c r="J18" s="204"/>
      <c r="K18" s="204"/>
    </row>
    <row r="19">
      <c r="A19" s="203"/>
      <c r="B19" s="204"/>
      <c r="C19" s="204"/>
      <c r="D19" s="201"/>
      <c r="E19" s="201"/>
      <c r="F19" s="201"/>
      <c r="G19" s="201"/>
      <c r="H19" s="201"/>
      <c r="I19" s="201"/>
      <c r="J19" s="204"/>
      <c r="K19" s="202"/>
    </row>
    <row r="20">
      <c r="A20" s="203"/>
      <c r="B20" s="204"/>
      <c r="C20" s="204"/>
      <c r="D20" s="201"/>
      <c r="E20" s="201"/>
      <c r="F20" s="201"/>
      <c r="G20" s="201"/>
      <c r="H20" s="201"/>
      <c r="I20" s="201"/>
      <c r="J20" s="204"/>
      <c r="K20" s="202"/>
    </row>
    <row r="21" ht="15.75" customHeight="1">
      <c r="A21" s="203"/>
    </row>
    <row r="22" ht="15.75" customHeight="1">
      <c r="A22" s="203"/>
    </row>
    <row r="23" ht="15.75" customHeight="1">
      <c r="A23" s="203"/>
    </row>
    <row r="24" ht="15.75" customHeight="1">
      <c r="A24" s="203"/>
    </row>
    <row r="25" ht="15.75" customHeight="1">
      <c r="A25" s="203"/>
    </row>
    <row r="26" ht="15.75" customHeight="1">
      <c r="A26" s="203"/>
    </row>
    <row r="27" ht="15.75" customHeight="1">
      <c r="A27" s="203"/>
    </row>
    <row r="28" ht="15.75" customHeight="1">
      <c r="A28" s="203"/>
    </row>
    <row r="29" ht="15.75" customHeight="1">
      <c r="A29" s="203"/>
    </row>
    <row r="30" ht="15.75" customHeight="1">
      <c r="A30" s="203"/>
    </row>
    <row r="31" ht="15.75" customHeight="1">
      <c r="A31" s="203"/>
    </row>
    <row r="32" ht="15.75" customHeight="1">
      <c r="A32" s="203"/>
    </row>
    <row r="33" ht="15.75" customHeight="1">
      <c r="A33" s="203"/>
    </row>
    <row r="34" ht="15.75" customHeight="1">
      <c r="A34" s="203"/>
    </row>
    <row r="35" ht="15.75" customHeight="1">
      <c r="A35" s="203"/>
    </row>
    <row r="36" ht="15.75" customHeight="1">
      <c r="A36" s="203"/>
    </row>
    <row r="37" ht="15.75" customHeight="1">
      <c r="A37" s="203"/>
    </row>
    <row r="38" ht="15.75" customHeight="1">
      <c r="A38" s="203"/>
    </row>
    <row r="39" ht="15.75" customHeight="1">
      <c r="A39" s="203"/>
    </row>
    <row r="40" ht="15.75" customHeight="1">
      <c r="A40" s="203"/>
    </row>
    <row r="41" ht="15.75" customHeight="1">
      <c r="A41" s="203"/>
    </row>
    <row r="42" ht="15.75" customHeight="1">
      <c r="A42" s="203"/>
    </row>
    <row r="43" ht="15.75" customHeight="1">
      <c r="A43" s="203"/>
    </row>
    <row r="44" ht="15.75" customHeight="1">
      <c r="A44" s="203"/>
    </row>
    <row r="45" ht="15.75" customHeight="1">
      <c r="A45" s="203"/>
    </row>
    <row r="46" ht="15.75" customHeight="1">
      <c r="A46" s="203"/>
    </row>
    <row r="47" ht="15.75" customHeight="1">
      <c r="A47" s="203"/>
    </row>
    <row r="48" ht="15.75" customHeight="1">
      <c r="A48" s="203"/>
    </row>
    <row r="49" ht="15.75" customHeight="1">
      <c r="A49" s="203"/>
    </row>
    <row r="50" ht="15.75" customHeight="1">
      <c r="A50" s="203"/>
    </row>
    <row r="51" ht="15.75" customHeight="1">
      <c r="A51" s="203"/>
    </row>
    <row r="52" ht="15.75" customHeight="1">
      <c r="A52" s="203"/>
    </row>
    <row r="53" ht="15.75" customHeight="1">
      <c r="A53" s="203"/>
    </row>
    <row r="54" ht="15.75" customHeight="1">
      <c r="A54" s="203"/>
    </row>
    <row r="55" ht="15.75" customHeight="1">
      <c r="A55" s="203"/>
    </row>
    <row r="56" ht="15.75" customHeight="1">
      <c r="A56" s="203"/>
    </row>
    <row r="57" ht="15.75" customHeight="1">
      <c r="A57" s="203"/>
    </row>
    <row r="58" ht="15.75" customHeight="1">
      <c r="A58" s="203"/>
    </row>
    <row r="59" ht="15.75" customHeight="1">
      <c r="A59" s="203"/>
    </row>
    <row r="60" ht="15.75" customHeight="1">
      <c r="A60" s="203"/>
    </row>
    <row r="61" ht="15.75" customHeight="1">
      <c r="A61" s="203"/>
    </row>
    <row r="62" ht="15.75" customHeight="1">
      <c r="A62" s="203"/>
    </row>
    <row r="63" ht="15.75" customHeight="1">
      <c r="A63" s="203"/>
    </row>
    <row r="64" ht="15.75" customHeight="1">
      <c r="A64" s="203"/>
    </row>
    <row r="65" ht="15.75" customHeight="1">
      <c r="A65" s="203"/>
    </row>
    <row r="66" ht="15.75" customHeight="1">
      <c r="A66" s="203"/>
    </row>
    <row r="67" ht="15.75" customHeight="1">
      <c r="A67" s="203"/>
    </row>
    <row r="68" ht="15.75" customHeight="1">
      <c r="A68" s="203"/>
    </row>
    <row r="69" ht="15.75" customHeight="1">
      <c r="A69" s="203"/>
    </row>
    <row r="70" ht="15.75" customHeight="1">
      <c r="A70" s="203"/>
    </row>
    <row r="71" ht="15.75" customHeight="1">
      <c r="A71" s="203"/>
    </row>
    <row r="72" ht="15.75" customHeight="1">
      <c r="A72" s="203"/>
    </row>
    <row r="73" ht="15.75" customHeight="1">
      <c r="A73" s="203"/>
    </row>
    <row r="74" ht="15.75" customHeight="1">
      <c r="A74" s="203"/>
    </row>
    <row r="75" ht="15.75" customHeight="1">
      <c r="A75" s="203"/>
    </row>
    <row r="76" ht="15.75" customHeight="1">
      <c r="A76" s="203"/>
    </row>
    <row r="77" ht="15.75" customHeight="1">
      <c r="A77" s="203"/>
    </row>
    <row r="78" ht="15.75" customHeight="1">
      <c r="A78" s="203"/>
    </row>
    <row r="79" ht="15.75" customHeight="1">
      <c r="A79" s="203"/>
    </row>
    <row r="80" ht="15.75" customHeight="1">
      <c r="A80" s="203"/>
    </row>
    <row r="81" ht="15.75" customHeight="1">
      <c r="A81" s="203"/>
    </row>
    <row r="82" ht="15.75" customHeight="1">
      <c r="A82" s="203"/>
    </row>
    <row r="83" ht="15.75" customHeight="1">
      <c r="A83" s="203"/>
    </row>
    <row r="84" ht="15.75" customHeight="1">
      <c r="A84" s="203"/>
    </row>
    <row r="85" ht="15.75" customHeight="1">
      <c r="A85" s="203"/>
    </row>
    <row r="86" ht="15.75" customHeight="1">
      <c r="A86" s="203"/>
    </row>
    <row r="87" ht="15.75" customHeight="1">
      <c r="A87" s="203"/>
    </row>
    <row r="88" ht="15.75" customHeight="1">
      <c r="A88" s="203"/>
    </row>
    <row r="89" ht="15.75" customHeight="1">
      <c r="A89" s="203"/>
    </row>
    <row r="90" ht="15.75" customHeight="1">
      <c r="A90" s="203"/>
    </row>
    <row r="91" ht="15.75" customHeight="1">
      <c r="A91" s="203"/>
    </row>
    <row r="92" ht="15.75" customHeight="1">
      <c r="A92" s="203"/>
    </row>
    <row r="93" ht="15.75" customHeight="1">
      <c r="A93" s="203"/>
    </row>
    <row r="94" ht="15.75" customHeight="1">
      <c r="A94" s="203"/>
    </row>
    <row r="95" ht="15.75" customHeight="1">
      <c r="A95" s="203"/>
    </row>
    <row r="96" ht="15.75" customHeight="1">
      <c r="A96" s="203"/>
    </row>
    <row r="97" ht="15.75" customHeight="1">
      <c r="A97" s="203"/>
    </row>
    <row r="98" ht="15.75" customHeight="1">
      <c r="A98" s="203"/>
    </row>
    <row r="99" ht="15.75" customHeight="1">
      <c r="A99" s="203"/>
    </row>
    <row r="100" ht="15.75" customHeight="1">
      <c r="A100" s="203"/>
    </row>
    <row r="101" ht="15.75" customHeight="1">
      <c r="A101" s="203"/>
    </row>
    <row r="102" ht="15.75" customHeight="1">
      <c r="A102" s="203"/>
    </row>
    <row r="103" ht="15.75" customHeight="1">
      <c r="A103" s="203"/>
    </row>
    <row r="104" ht="15.75" customHeight="1">
      <c r="A104" s="203"/>
    </row>
    <row r="105" ht="15.75" customHeight="1">
      <c r="A105" s="203"/>
    </row>
    <row r="106" ht="15.75" customHeight="1">
      <c r="A106" s="203"/>
    </row>
    <row r="107" ht="15.75" customHeight="1">
      <c r="A107" s="203"/>
    </row>
    <row r="108" ht="15.75" customHeight="1">
      <c r="A108" s="203"/>
    </row>
    <row r="109" ht="15.75" customHeight="1">
      <c r="A109" s="203"/>
    </row>
    <row r="110" ht="15.75" customHeight="1">
      <c r="A110" s="203"/>
    </row>
    <row r="111" ht="15.75" customHeight="1">
      <c r="A111" s="203"/>
    </row>
    <row r="112" ht="15.75" customHeight="1">
      <c r="A112" s="203"/>
    </row>
    <row r="113" ht="15.75" customHeight="1">
      <c r="A113" s="203"/>
    </row>
    <row r="114" ht="15.75" customHeight="1">
      <c r="A114" s="203"/>
    </row>
    <row r="115" ht="15.75" customHeight="1">
      <c r="A115" s="203"/>
    </row>
    <row r="116" ht="15.75" customHeight="1">
      <c r="A116" s="203"/>
    </row>
    <row r="117" ht="15.75" customHeight="1">
      <c r="A117" s="203"/>
    </row>
    <row r="118" ht="15.75" customHeight="1">
      <c r="A118" s="203"/>
    </row>
    <row r="119" ht="15.75" customHeight="1">
      <c r="A119" s="203"/>
    </row>
    <row r="120" ht="15.75" customHeight="1">
      <c r="A120" s="203"/>
    </row>
    <row r="121" ht="15.75" customHeight="1">
      <c r="A121" s="203"/>
    </row>
    <row r="122" ht="15.75" customHeight="1">
      <c r="A122" s="203"/>
    </row>
    <row r="123" ht="15.75" customHeight="1">
      <c r="A123" s="203"/>
    </row>
    <row r="124" ht="15.75" customHeight="1">
      <c r="A124" s="203"/>
    </row>
    <row r="125" ht="15.75" customHeight="1">
      <c r="A125" s="203"/>
    </row>
    <row r="126" ht="15.75" customHeight="1">
      <c r="A126" s="203"/>
    </row>
    <row r="127" ht="15.75" customHeight="1">
      <c r="A127" s="203"/>
    </row>
    <row r="128" ht="15.75" customHeight="1">
      <c r="A128" s="203"/>
    </row>
    <row r="129" ht="15.75" customHeight="1">
      <c r="A129" s="203"/>
    </row>
    <row r="130" ht="15.75" customHeight="1">
      <c r="A130" s="203"/>
    </row>
    <row r="131" ht="15.75" customHeight="1">
      <c r="A131" s="203"/>
    </row>
    <row r="132" ht="15.75" customHeight="1">
      <c r="A132" s="203"/>
    </row>
    <row r="133" ht="15.75" customHeight="1">
      <c r="A133" s="203"/>
    </row>
    <row r="134" ht="15.75" customHeight="1">
      <c r="A134" s="203"/>
    </row>
    <row r="135" ht="15.75" customHeight="1">
      <c r="A135" s="203"/>
    </row>
    <row r="136" ht="15.75" customHeight="1">
      <c r="A136" s="203"/>
    </row>
    <row r="137" ht="15.75" customHeight="1">
      <c r="A137" s="203"/>
    </row>
    <row r="138" ht="15.75" customHeight="1">
      <c r="A138" s="203"/>
    </row>
    <row r="139" ht="15.75" customHeight="1">
      <c r="A139" s="203"/>
    </row>
    <row r="140" ht="15.75" customHeight="1">
      <c r="A140" s="203"/>
    </row>
    <row r="141" ht="15.75" customHeight="1">
      <c r="A141" s="203"/>
    </row>
    <row r="142" ht="15.75" customHeight="1">
      <c r="A142" s="203"/>
    </row>
    <row r="143" ht="15.75" customHeight="1">
      <c r="A143" s="203"/>
    </row>
    <row r="144" ht="15.75" customHeight="1">
      <c r="A144" s="203"/>
    </row>
    <row r="145" ht="15.75" customHeight="1">
      <c r="A145" s="203"/>
    </row>
    <row r="146" ht="15.75" customHeight="1">
      <c r="A146" s="203"/>
    </row>
    <row r="147" ht="15.75" customHeight="1">
      <c r="A147" s="203"/>
    </row>
    <row r="148" ht="15.75" customHeight="1">
      <c r="A148" s="203"/>
    </row>
    <row r="149" ht="15.75" customHeight="1">
      <c r="A149" s="203"/>
    </row>
    <row r="150" ht="15.75" customHeight="1">
      <c r="A150" s="203"/>
    </row>
    <row r="151" ht="15.75" customHeight="1">
      <c r="A151" s="203"/>
    </row>
    <row r="152" ht="15.75" customHeight="1">
      <c r="A152" s="203"/>
    </row>
    <row r="153" ht="15.75" customHeight="1">
      <c r="A153" s="203"/>
    </row>
    <row r="154" ht="15.75" customHeight="1">
      <c r="A154" s="203"/>
    </row>
    <row r="155" ht="15.75" customHeight="1">
      <c r="A155" s="203"/>
    </row>
    <row r="156" ht="15.75" customHeight="1">
      <c r="A156" s="203"/>
    </row>
    <row r="157" ht="15.75" customHeight="1">
      <c r="A157" s="203"/>
    </row>
    <row r="158" ht="15.75" customHeight="1">
      <c r="A158" s="203"/>
    </row>
    <row r="159" ht="15.75" customHeight="1">
      <c r="A159" s="203"/>
    </row>
    <row r="160" ht="15.75" customHeight="1">
      <c r="A160" s="203"/>
    </row>
    <row r="161" ht="15.75" customHeight="1">
      <c r="A161" s="203"/>
    </row>
    <row r="162" ht="15.75" customHeight="1">
      <c r="A162" s="203"/>
    </row>
    <row r="163" ht="15.75" customHeight="1">
      <c r="A163" s="203"/>
    </row>
    <row r="164" ht="15.75" customHeight="1">
      <c r="A164" s="203"/>
    </row>
    <row r="165" ht="15.75" customHeight="1">
      <c r="A165" s="203"/>
    </row>
    <row r="166" ht="15.75" customHeight="1">
      <c r="A166" s="203"/>
    </row>
    <row r="167" ht="15.75" customHeight="1">
      <c r="A167" s="203"/>
    </row>
    <row r="168" ht="15.75" customHeight="1">
      <c r="A168" s="203"/>
    </row>
    <row r="169" ht="15.75" customHeight="1">
      <c r="A169" s="203"/>
    </row>
    <row r="170" ht="15.75" customHeight="1">
      <c r="A170" s="203"/>
    </row>
    <row r="171" ht="15.75" customHeight="1">
      <c r="A171" s="203"/>
    </row>
    <row r="172" ht="15.75" customHeight="1">
      <c r="A172" s="203"/>
    </row>
    <row r="173" ht="15.75" customHeight="1">
      <c r="A173" s="203"/>
    </row>
    <row r="174" ht="15.75" customHeight="1">
      <c r="A174" s="203"/>
    </row>
    <row r="175" ht="15.75" customHeight="1">
      <c r="A175" s="203"/>
    </row>
    <row r="176" ht="15.75" customHeight="1">
      <c r="A176" s="203"/>
    </row>
    <row r="177" ht="15.75" customHeight="1">
      <c r="A177" s="203"/>
    </row>
    <row r="178" ht="15.75" customHeight="1">
      <c r="A178" s="203"/>
    </row>
    <row r="179" ht="15.75" customHeight="1">
      <c r="A179" s="203"/>
    </row>
    <row r="180" ht="15.75" customHeight="1">
      <c r="A180" s="203"/>
    </row>
    <row r="181" ht="15.75" customHeight="1">
      <c r="A181" s="203"/>
    </row>
    <row r="182" ht="15.75" customHeight="1">
      <c r="A182" s="203"/>
    </row>
    <row r="183" ht="15.75" customHeight="1">
      <c r="A183" s="203"/>
    </row>
    <row r="184" ht="15.75" customHeight="1">
      <c r="A184" s="203"/>
    </row>
    <row r="185" ht="15.75" customHeight="1">
      <c r="A185" s="203"/>
    </row>
    <row r="186" ht="15.75" customHeight="1">
      <c r="A186" s="203"/>
    </row>
    <row r="187" ht="15.75" customHeight="1">
      <c r="A187" s="203"/>
    </row>
    <row r="188" ht="15.75" customHeight="1">
      <c r="A188" s="203"/>
    </row>
    <row r="189" ht="15.75" customHeight="1">
      <c r="A189" s="203"/>
    </row>
    <row r="190" ht="15.75" customHeight="1">
      <c r="A190" s="203"/>
    </row>
    <row r="191" ht="15.75" customHeight="1">
      <c r="A191" s="203"/>
    </row>
    <row r="192" ht="15.75" customHeight="1">
      <c r="A192" s="203"/>
    </row>
    <row r="193" ht="15.75" customHeight="1">
      <c r="A193" s="203"/>
    </row>
    <row r="194" ht="15.75" customHeight="1">
      <c r="A194" s="203"/>
    </row>
    <row r="195" ht="15.75" customHeight="1">
      <c r="A195" s="203"/>
    </row>
    <row r="196" ht="15.75" customHeight="1">
      <c r="A196" s="203"/>
    </row>
    <row r="197" ht="15.75" customHeight="1">
      <c r="A197" s="203"/>
    </row>
    <row r="198" ht="15.75" customHeight="1">
      <c r="A198" s="203"/>
    </row>
    <row r="199" ht="15.75" customHeight="1">
      <c r="A199" s="203"/>
    </row>
    <row r="200" ht="15.75" customHeight="1">
      <c r="A200" s="203"/>
    </row>
    <row r="201" ht="15.75" customHeight="1">
      <c r="A201" s="203"/>
    </row>
    <row r="202" ht="15.75" customHeight="1">
      <c r="A202" s="203"/>
    </row>
    <row r="203" ht="15.75" customHeight="1">
      <c r="A203" s="203"/>
    </row>
    <row r="204" ht="15.75" customHeight="1">
      <c r="A204" s="203"/>
    </row>
    <row r="205" ht="15.75" customHeight="1">
      <c r="A205" s="203"/>
    </row>
    <row r="206" ht="15.75" customHeight="1">
      <c r="A206" s="203"/>
    </row>
    <row r="207" ht="15.75" customHeight="1">
      <c r="A207" s="203"/>
    </row>
    <row r="208" ht="15.75" customHeight="1">
      <c r="A208" s="203"/>
    </row>
    <row r="209" ht="15.75" customHeight="1">
      <c r="A209" s="203"/>
    </row>
    <row r="210" ht="15.75" customHeight="1">
      <c r="A210" s="203"/>
    </row>
    <row r="211" ht="15.75" customHeight="1">
      <c r="A211" s="203"/>
    </row>
    <row r="212" ht="15.75" customHeight="1">
      <c r="A212" s="203"/>
    </row>
    <row r="213" ht="15.75" customHeight="1">
      <c r="A213" s="203"/>
    </row>
    <row r="214" ht="15.75" customHeight="1">
      <c r="A214" s="203"/>
    </row>
    <row r="215" ht="15.75" customHeight="1">
      <c r="A215" s="203"/>
    </row>
    <row r="216" ht="15.75" customHeight="1">
      <c r="A216" s="203"/>
    </row>
    <row r="217" ht="15.75" customHeight="1">
      <c r="A217" s="203"/>
    </row>
    <row r="218" ht="15.75" customHeight="1">
      <c r="A218" s="203"/>
    </row>
    <row r="219" ht="15.75" customHeight="1">
      <c r="A219" s="203"/>
    </row>
    <row r="220" ht="15.75" customHeight="1">
      <c r="A220" s="203"/>
    </row>
    <row r="221" ht="15.75" customHeight="1">
      <c r="A221" s="203"/>
    </row>
    <row r="222" ht="15.75" customHeight="1">
      <c r="A222" s="203"/>
    </row>
    <row r="223" ht="15.75" customHeight="1">
      <c r="A223" s="203"/>
    </row>
    <row r="224" ht="15.75" customHeight="1">
      <c r="A224" s="203"/>
    </row>
    <row r="225" ht="15.75" customHeight="1">
      <c r="A225" s="203"/>
    </row>
    <row r="226" ht="15.75" customHeight="1">
      <c r="A226" s="203"/>
    </row>
    <row r="227" ht="15.75" customHeight="1">
      <c r="A227" s="203"/>
    </row>
    <row r="228" ht="15.75" customHeight="1">
      <c r="A228" s="203"/>
    </row>
    <row r="229" ht="15.75" customHeight="1">
      <c r="A229" s="203"/>
    </row>
    <row r="230" ht="15.75" customHeight="1">
      <c r="A230" s="203"/>
    </row>
    <row r="231" ht="15.75" customHeight="1">
      <c r="A231" s="203"/>
    </row>
    <row r="232" ht="15.75" customHeight="1">
      <c r="A232" s="203"/>
    </row>
    <row r="233" ht="15.75" customHeight="1">
      <c r="A233" s="203"/>
    </row>
    <row r="234" ht="15.75" customHeight="1">
      <c r="A234" s="203"/>
    </row>
    <row r="235" ht="15.75" customHeight="1">
      <c r="A235" s="203"/>
    </row>
    <row r="236" ht="15.75" customHeight="1">
      <c r="A236" s="203"/>
    </row>
    <row r="237" ht="15.75" customHeight="1">
      <c r="A237" s="203"/>
    </row>
    <row r="238" ht="15.75" customHeight="1">
      <c r="A238" s="203"/>
    </row>
    <row r="239" ht="15.75" customHeight="1">
      <c r="A239" s="203"/>
    </row>
    <row r="240" ht="15.75" customHeight="1">
      <c r="A240" s="203"/>
    </row>
    <row r="241" ht="15.75" customHeight="1">
      <c r="A241" s="203"/>
    </row>
    <row r="242" ht="15.75" customHeight="1">
      <c r="A242" s="203"/>
    </row>
    <row r="243" ht="15.75" customHeight="1">
      <c r="A243" s="203"/>
    </row>
    <row r="244" ht="15.75" customHeight="1">
      <c r="A244" s="203"/>
    </row>
    <row r="245" ht="15.75" customHeight="1">
      <c r="A245" s="203"/>
    </row>
    <row r="246" ht="15.75" customHeight="1">
      <c r="A246" s="203"/>
    </row>
    <row r="247" ht="15.75" customHeight="1">
      <c r="A247" s="203"/>
    </row>
    <row r="248" ht="15.75" customHeight="1">
      <c r="A248" s="203"/>
    </row>
    <row r="249" ht="15.75" customHeight="1">
      <c r="A249" s="203"/>
    </row>
    <row r="250" ht="15.75" customHeight="1">
      <c r="A250" s="203"/>
    </row>
    <row r="251" ht="15.75" customHeight="1">
      <c r="A251" s="203"/>
    </row>
    <row r="252" ht="15.75" customHeight="1">
      <c r="A252" s="203"/>
    </row>
    <row r="253" ht="15.75" customHeight="1">
      <c r="A253" s="203"/>
    </row>
    <row r="254" ht="15.75" customHeight="1">
      <c r="A254" s="203"/>
    </row>
    <row r="255" ht="15.75" customHeight="1">
      <c r="A255" s="203"/>
    </row>
    <row r="256" ht="15.75" customHeight="1">
      <c r="A256" s="203"/>
    </row>
    <row r="257" ht="15.75" customHeight="1">
      <c r="A257" s="203"/>
    </row>
    <row r="258" ht="15.75" customHeight="1">
      <c r="A258" s="203"/>
    </row>
    <row r="259" ht="15.75" customHeight="1">
      <c r="A259" s="203"/>
    </row>
    <row r="260" ht="15.75" customHeight="1">
      <c r="A260" s="203"/>
    </row>
    <row r="261" ht="15.75" customHeight="1">
      <c r="A261" s="203"/>
    </row>
    <row r="262" ht="15.75" customHeight="1">
      <c r="A262" s="203"/>
    </row>
    <row r="263" ht="15.75" customHeight="1">
      <c r="A263" s="203"/>
    </row>
    <row r="264" ht="15.75" customHeight="1">
      <c r="A264" s="203"/>
    </row>
    <row r="265" ht="15.75" customHeight="1">
      <c r="A265" s="203"/>
    </row>
    <row r="266" ht="15.75" customHeight="1">
      <c r="A266" s="203"/>
    </row>
    <row r="267" ht="15.75" customHeight="1">
      <c r="A267" s="203"/>
    </row>
    <row r="268" ht="15.75" customHeight="1">
      <c r="A268" s="203"/>
    </row>
    <row r="269" ht="15.75" customHeight="1">
      <c r="A269" s="203"/>
    </row>
    <row r="270" ht="15.75" customHeight="1">
      <c r="A270" s="203"/>
    </row>
    <row r="271" ht="15.75" customHeight="1">
      <c r="A271" s="203"/>
    </row>
    <row r="272" ht="15.75" customHeight="1">
      <c r="A272" s="203"/>
    </row>
    <row r="273" ht="15.75" customHeight="1">
      <c r="A273" s="203"/>
    </row>
    <row r="274" ht="15.75" customHeight="1">
      <c r="A274" s="203"/>
    </row>
    <row r="275" ht="15.75" customHeight="1">
      <c r="A275" s="203"/>
    </row>
    <row r="276" ht="15.75" customHeight="1">
      <c r="A276" s="203"/>
    </row>
    <row r="277" ht="15.75" customHeight="1">
      <c r="A277" s="203"/>
    </row>
    <row r="278" ht="15.75" customHeight="1">
      <c r="A278" s="203"/>
    </row>
    <row r="279" ht="15.75" customHeight="1">
      <c r="A279" s="203"/>
    </row>
    <row r="280" ht="15.75" customHeight="1">
      <c r="A280" s="203"/>
    </row>
    <row r="281" ht="15.75" customHeight="1">
      <c r="A281" s="203"/>
    </row>
    <row r="282" ht="15.75" customHeight="1">
      <c r="A282" s="203"/>
    </row>
    <row r="283" ht="15.75" customHeight="1">
      <c r="A283" s="203"/>
    </row>
    <row r="284" ht="15.75" customHeight="1">
      <c r="A284" s="203"/>
    </row>
    <row r="285" ht="15.75" customHeight="1">
      <c r="A285" s="203"/>
    </row>
    <row r="286" ht="15.75" customHeight="1">
      <c r="A286" s="203"/>
    </row>
    <row r="287" ht="15.75" customHeight="1">
      <c r="A287" s="203"/>
    </row>
    <row r="288" ht="15.75" customHeight="1">
      <c r="A288" s="203"/>
    </row>
    <row r="289" ht="15.75" customHeight="1">
      <c r="A289" s="203"/>
    </row>
    <row r="290" ht="15.75" customHeight="1">
      <c r="A290" s="203"/>
    </row>
    <row r="291" ht="15.75" customHeight="1">
      <c r="A291" s="203"/>
    </row>
    <row r="292" ht="15.75" customHeight="1">
      <c r="A292" s="203"/>
    </row>
    <row r="293" ht="15.75" customHeight="1">
      <c r="A293" s="203"/>
    </row>
    <row r="294" ht="15.75" customHeight="1">
      <c r="A294" s="203"/>
    </row>
    <row r="295" ht="15.75" customHeight="1">
      <c r="A295" s="203"/>
    </row>
    <row r="296" ht="15.75" customHeight="1">
      <c r="A296" s="203"/>
    </row>
    <row r="297" ht="15.75" customHeight="1">
      <c r="A297" s="203"/>
    </row>
    <row r="298" ht="15.75" customHeight="1">
      <c r="A298" s="203"/>
    </row>
    <row r="299" ht="15.75" customHeight="1">
      <c r="A299" s="203"/>
    </row>
    <row r="300" ht="15.75" customHeight="1">
      <c r="A300" s="203"/>
    </row>
    <row r="301" ht="15.75" customHeight="1">
      <c r="A301" s="203"/>
    </row>
    <row r="302" ht="15.75" customHeight="1">
      <c r="A302" s="203"/>
    </row>
    <row r="303" ht="15.75" customHeight="1">
      <c r="A303" s="203"/>
    </row>
    <row r="304" ht="15.75" customHeight="1">
      <c r="A304" s="203"/>
    </row>
    <row r="305" ht="15.75" customHeight="1">
      <c r="A305" s="203"/>
    </row>
    <row r="306" ht="15.75" customHeight="1">
      <c r="A306" s="203"/>
    </row>
    <row r="307" ht="15.75" customHeight="1">
      <c r="A307" s="203"/>
    </row>
    <row r="308" ht="15.75" customHeight="1">
      <c r="A308" s="203"/>
    </row>
    <row r="309" ht="15.75" customHeight="1">
      <c r="A309" s="203"/>
    </row>
    <row r="310" ht="15.75" customHeight="1">
      <c r="A310" s="203"/>
    </row>
    <row r="311" ht="15.75" customHeight="1">
      <c r="A311" s="203"/>
    </row>
    <row r="312" ht="15.75" customHeight="1">
      <c r="A312" s="203"/>
    </row>
    <row r="313" ht="15.75" customHeight="1">
      <c r="A313" s="203"/>
    </row>
    <row r="314" ht="15.75" customHeight="1">
      <c r="A314" s="203"/>
    </row>
    <row r="315" ht="15.75" customHeight="1">
      <c r="A315" s="203"/>
    </row>
    <row r="316" ht="15.75" customHeight="1">
      <c r="A316" s="203"/>
    </row>
    <row r="317" ht="15.75" customHeight="1">
      <c r="A317" s="203"/>
    </row>
    <row r="318" ht="15.75" customHeight="1">
      <c r="A318" s="203"/>
    </row>
    <row r="319" ht="15.75" customHeight="1">
      <c r="A319" s="203"/>
    </row>
    <row r="320" ht="15.75" customHeight="1">
      <c r="A320" s="203"/>
    </row>
    <row r="321" ht="15.75" customHeight="1">
      <c r="A321" s="203"/>
    </row>
    <row r="322" ht="15.75" customHeight="1">
      <c r="A322" s="203"/>
    </row>
    <row r="323" ht="15.75" customHeight="1">
      <c r="A323" s="203"/>
    </row>
    <row r="324" ht="15.75" customHeight="1">
      <c r="A324" s="203"/>
    </row>
    <row r="325" ht="15.75" customHeight="1">
      <c r="A325" s="203"/>
    </row>
    <row r="326" ht="15.75" customHeight="1">
      <c r="A326" s="203"/>
    </row>
    <row r="327" ht="15.75" customHeight="1">
      <c r="A327" s="203"/>
    </row>
    <row r="328" ht="15.75" customHeight="1">
      <c r="A328" s="203"/>
    </row>
    <row r="329" ht="15.75" customHeight="1">
      <c r="A329" s="203"/>
    </row>
    <row r="330" ht="15.75" customHeight="1">
      <c r="A330" s="203"/>
    </row>
    <row r="331" ht="15.75" customHeight="1">
      <c r="A331" s="203"/>
    </row>
    <row r="332" ht="15.75" customHeight="1">
      <c r="A332" s="203"/>
    </row>
    <row r="333" ht="15.75" customHeight="1">
      <c r="A333" s="203"/>
    </row>
    <row r="334" ht="15.75" customHeight="1">
      <c r="A334" s="203"/>
    </row>
    <row r="335" ht="15.75" customHeight="1">
      <c r="A335" s="203"/>
    </row>
    <row r="336" ht="15.75" customHeight="1">
      <c r="A336" s="203"/>
    </row>
    <row r="337" ht="15.75" customHeight="1">
      <c r="A337" s="203"/>
    </row>
    <row r="338" ht="15.75" customHeight="1">
      <c r="A338" s="203"/>
    </row>
    <row r="339" ht="15.75" customHeight="1">
      <c r="A339" s="203"/>
    </row>
    <row r="340" ht="15.75" customHeight="1">
      <c r="A340" s="203"/>
    </row>
    <row r="341" ht="15.75" customHeight="1">
      <c r="A341" s="203"/>
    </row>
    <row r="342" ht="15.75" customHeight="1">
      <c r="A342" s="203"/>
    </row>
    <row r="343" ht="15.75" customHeight="1">
      <c r="A343" s="203"/>
    </row>
    <row r="344" ht="15.75" customHeight="1">
      <c r="A344" s="203"/>
    </row>
    <row r="345" ht="15.75" customHeight="1">
      <c r="A345" s="203"/>
    </row>
    <row r="346" ht="15.75" customHeight="1">
      <c r="A346" s="203"/>
    </row>
    <row r="347" ht="15.75" customHeight="1">
      <c r="A347" s="203"/>
    </row>
    <row r="348" ht="15.75" customHeight="1">
      <c r="A348" s="203"/>
    </row>
    <row r="349" ht="15.75" customHeight="1">
      <c r="A349" s="203"/>
    </row>
    <row r="350" ht="15.75" customHeight="1">
      <c r="A350" s="203"/>
    </row>
    <row r="351" ht="15.75" customHeight="1">
      <c r="A351" s="203"/>
    </row>
    <row r="352" ht="15.75" customHeight="1">
      <c r="A352" s="203"/>
    </row>
    <row r="353" ht="15.75" customHeight="1">
      <c r="A353" s="203"/>
    </row>
    <row r="354" ht="15.75" customHeight="1">
      <c r="A354" s="203"/>
    </row>
    <row r="355" ht="15.75" customHeight="1">
      <c r="A355" s="203"/>
    </row>
    <row r="356" ht="15.75" customHeight="1">
      <c r="A356" s="203"/>
    </row>
    <row r="357" ht="15.75" customHeight="1">
      <c r="A357" s="203"/>
    </row>
    <row r="358" ht="15.75" customHeight="1">
      <c r="A358" s="203"/>
    </row>
    <row r="359" ht="15.75" customHeight="1">
      <c r="A359" s="203"/>
    </row>
    <row r="360" ht="15.75" customHeight="1">
      <c r="A360" s="203"/>
    </row>
    <row r="361" ht="15.75" customHeight="1">
      <c r="A361" s="203"/>
    </row>
    <row r="362" ht="15.75" customHeight="1">
      <c r="A362" s="203"/>
    </row>
    <row r="363" ht="15.75" customHeight="1">
      <c r="A363" s="203"/>
    </row>
    <row r="364" ht="15.75" customHeight="1">
      <c r="A364" s="203"/>
    </row>
    <row r="365" ht="15.75" customHeight="1">
      <c r="A365" s="203"/>
    </row>
    <row r="366" ht="15.75" customHeight="1">
      <c r="A366" s="203"/>
    </row>
    <row r="367" ht="15.75" customHeight="1">
      <c r="A367" s="203"/>
    </row>
    <row r="368" ht="15.75" customHeight="1">
      <c r="A368" s="203"/>
    </row>
    <row r="369" ht="15.75" customHeight="1">
      <c r="A369" s="203"/>
    </row>
    <row r="370" ht="15.75" customHeight="1">
      <c r="A370" s="203"/>
    </row>
    <row r="371" ht="15.75" customHeight="1">
      <c r="A371" s="203"/>
    </row>
    <row r="372" ht="15.75" customHeight="1">
      <c r="A372" s="203"/>
    </row>
    <row r="373" ht="15.75" customHeight="1">
      <c r="A373" s="203"/>
    </row>
    <row r="374" ht="15.75" customHeight="1">
      <c r="A374" s="203"/>
    </row>
    <row r="375" ht="15.75" customHeight="1">
      <c r="A375" s="203"/>
    </row>
    <row r="376" ht="15.75" customHeight="1">
      <c r="A376" s="203"/>
    </row>
    <row r="377" ht="15.75" customHeight="1">
      <c r="A377" s="203"/>
    </row>
    <row r="378" ht="15.75" customHeight="1">
      <c r="A378" s="203"/>
    </row>
    <row r="379" ht="15.75" customHeight="1">
      <c r="A379" s="203"/>
    </row>
    <row r="380" ht="15.75" customHeight="1">
      <c r="A380" s="203"/>
    </row>
    <row r="381" ht="15.75" customHeight="1">
      <c r="A381" s="203"/>
    </row>
    <row r="382" ht="15.75" customHeight="1">
      <c r="A382" s="203"/>
    </row>
    <row r="383" ht="15.75" customHeight="1">
      <c r="A383" s="203"/>
    </row>
    <row r="384" ht="15.75" customHeight="1">
      <c r="A384" s="203"/>
    </row>
    <row r="385" ht="15.75" customHeight="1">
      <c r="A385" s="203"/>
    </row>
    <row r="386" ht="15.75" customHeight="1">
      <c r="A386" s="203"/>
    </row>
    <row r="387" ht="15.75" customHeight="1">
      <c r="A387" s="203"/>
    </row>
    <row r="388" ht="15.75" customHeight="1">
      <c r="A388" s="203"/>
    </row>
    <row r="389" ht="15.75" customHeight="1">
      <c r="A389" s="203"/>
    </row>
    <row r="390" ht="15.75" customHeight="1">
      <c r="A390" s="203"/>
    </row>
    <row r="391" ht="15.75" customHeight="1">
      <c r="A391" s="203"/>
    </row>
    <row r="392" ht="15.75" customHeight="1">
      <c r="A392" s="203"/>
    </row>
    <row r="393" ht="15.75" customHeight="1">
      <c r="A393" s="203"/>
    </row>
    <row r="394" ht="15.75" customHeight="1">
      <c r="A394" s="203"/>
    </row>
    <row r="395" ht="15.75" customHeight="1">
      <c r="A395" s="203"/>
    </row>
    <row r="396" ht="15.75" customHeight="1">
      <c r="A396" s="203"/>
    </row>
    <row r="397" ht="15.75" customHeight="1">
      <c r="A397" s="203"/>
    </row>
    <row r="398" ht="15.75" customHeight="1">
      <c r="A398" s="203"/>
    </row>
    <row r="399" ht="15.75" customHeight="1">
      <c r="A399" s="203"/>
    </row>
    <row r="400" ht="15.75" customHeight="1">
      <c r="A400" s="203"/>
    </row>
    <row r="401" ht="15.75" customHeight="1">
      <c r="A401" s="203"/>
    </row>
    <row r="402" ht="15.75" customHeight="1">
      <c r="A402" s="203"/>
    </row>
    <row r="403" ht="15.75" customHeight="1">
      <c r="A403" s="203"/>
    </row>
    <row r="404" ht="15.75" customHeight="1">
      <c r="A404" s="203"/>
    </row>
    <row r="405" ht="15.75" customHeight="1">
      <c r="A405" s="203"/>
    </row>
    <row r="406" ht="15.75" customHeight="1">
      <c r="A406" s="203"/>
    </row>
    <row r="407" ht="15.75" customHeight="1">
      <c r="A407" s="203"/>
    </row>
    <row r="408" ht="15.75" customHeight="1">
      <c r="A408" s="203"/>
    </row>
    <row r="409" ht="15.75" customHeight="1">
      <c r="A409" s="203"/>
    </row>
    <row r="410" ht="15.75" customHeight="1">
      <c r="A410" s="203"/>
    </row>
    <row r="411" ht="15.75" customHeight="1">
      <c r="A411" s="203"/>
    </row>
    <row r="412" ht="15.75" customHeight="1">
      <c r="A412" s="203"/>
    </row>
    <row r="413" ht="15.75" customHeight="1">
      <c r="A413" s="203"/>
    </row>
    <row r="414" ht="15.75" customHeight="1">
      <c r="A414" s="203"/>
    </row>
    <row r="415" ht="15.75" customHeight="1">
      <c r="A415" s="203"/>
    </row>
    <row r="416" ht="15.75" customHeight="1">
      <c r="A416" s="203"/>
    </row>
    <row r="417" ht="15.75" customHeight="1">
      <c r="A417" s="203"/>
    </row>
    <row r="418" ht="15.75" customHeight="1">
      <c r="A418" s="203"/>
    </row>
    <row r="419" ht="15.75" customHeight="1">
      <c r="A419" s="203"/>
    </row>
    <row r="420" ht="15.75" customHeight="1">
      <c r="A420" s="203"/>
    </row>
    <row r="421" ht="15.75" customHeight="1">
      <c r="A421" s="203"/>
    </row>
    <row r="422" ht="15.75" customHeight="1">
      <c r="A422" s="203"/>
    </row>
    <row r="423" ht="15.75" customHeight="1">
      <c r="A423" s="203"/>
    </row>
    <row r="424" ht="15.75" customHeight="1">
      <c r="A424" s="203"/>
    </row>
    <row r="425" ht="15.75" customHeight="1">
      <c r="A425" s="203"/>
    </row>
    <row r="426" ht="15.75" customHeight="1">
      <c r="A426" s="203"/>
    </row>
    <row r="427" ht="15.75" customHeight="1">
      <c r="A427" s="203"/>
    </row>
    <row r="428" ht="15.75" customHeight="1">
      <c r="A428" s="203"/>
    </row>
    <row r="429" ht="15.75" customHeight="1">
      <c r="A429" s="203"/>
    </row>
    <row r="430" ht="15.75" customHeight="1">
      <c r="A430" s="203"/>
    </row>
    <row r="431" ht="15.75" customHeight="1">
      <c r="A431" s="203"/>
    </row>
    <row r="432" ht="15.75" customHeight="1">
      <c r="A432" s="203"/>
    </row>
    <row r="433" ht="15.75" customHeight="1">
      <c r="A433" s="203"/>
    </row>
    <row r="434" ht="15.75" customHeight="1">
      <c r="A434" s="203"/>
    </row>
    <row r="435" ht="15.75" customHeight="1">
      <c r="A435" s="203"/>
    </row>
    <row r="436" ht="15.75" customHeight="1">
      <c r="A436" s="203"/>
    </row>
    <row r="437" ht="15.75" customHeight="1">
      <c r="A437" s="203"/>
    </row>
    <row r="438" ht="15.75" customHeight="1">
      <c r="A438" s="203"/>
    </row>
    <row r="439" ht="15.75" customHeight="1">
      <c r="A439" s="203"/>
    </row>
    <row r="440" ht="15.75" customHeight="1">
      <c r="A440" s="203"/>
    </row>
    <row r="441" ht="15.75" customHeight="1">
      <c r="A441" s="203"/>
    </row>
    <row r="442" ht="15.75" customHeight="1">
      <c r="A442" s="203"/>
    </row>
    <row r="443" ht="15.75" customHeight="1">
      <c r="A443" s="203"/>
    </row>
    <row r="444" ht="15.75" customHeight="1">
      <c r="A444" s="203"/>
    </row>
    <row r="445" ht="15.75" customHeight="1">
      <c r="A445" s="203"/>
    </row>
    <row r="446" ht="15.75" customHeight="1">
      <c r="A446" s="203"/>
    </row>
    <row r="447" ht="15.75" customHeight="1">
      <c r="A447" s="203"/>
    </row>
    <row r="448" ht="15.75" customHeight="1">
      <c r="A448" s="203"/>
    </row>
    <row r="449" ht="15.75" customHeight="1">
      <c r="A449" s="203"/>
    </row>
    <row r="450" ht="15.75" customHeight="1">
      <c r="A450" s="203"/>
    </row>
    <row r="451" ht="15.75" customHeight="1">
      <c r="A451" s="203"/>
    </row>
    <row r="452" ht="15.75" customHeight="1">
      <c r="A452" s="203"/>
    </row>
    <row r="453" ht="15.75" customHeight="1">
      <c r="A453" s="203"/>
    </row>
    <row r="454" ht="15.75" customHeight="1">
      <c r="A454" s="203"/>
    </row>
    <row r="455" ht="15.75" customHeight="1">
      <c r="A455" s="203"/>
    </row>
    <row r="456" ht="15.75" customHeight="1">
      <c r="A456" s="203"/>
    </row>
    <row r="457" ht="15.75" customHeight="1">
      <c r="A457" s="203"/>
    </row>
    <row r="458" ht="15.75" customHeight="1">
      <c r="A458" s="203"/>
    </row>
    <row r="459" ht="15.75" customHeight="1">
      <c r="A459" s="203"/>
    </row>
    <row r="460" ht="15.75" customHeight="1">
      <c r="A460" s="203"/>
    </row>
    <row r="461" ht="15.75" customHeight="1">
      <c r="A461" s="203"/>
    </row>
    <row r="462" ht="15.75" customHeight="1">
      <c r="A462" s="203"/>
    </row>
    <row r="463" ht="15.75" customHeight="1">
      <c r="A463" s="203"/>
    </row>
    <row r="464" ht="15.75" customHeight="1">
      <c r="A464" s="203"/>
    </row>
    <row r="465" ht="15.75" customHeight="1">
      <c r="A465" s="203"/>
    </row>
    <row r="466" ht="15.75" customHeight="1">
      <c r="A466" s="203"/>
    </row>
    <row r="467" ht="15.75" customHeight="1">
      <c r="A467" s="203"/>
    </row>
    <row r="468" ht="15.75" customHeight="1">
      <c r="A468" s="203"/>
    </row>
    <row r="469" ht="15.75" customHeight="1">
      <c r="A469" s="203"/>
    </row>
    <row r="470" ht="15.75" customHeight="1">
      <c r="A470" s="203"/>
    </row>
    <row r="471" ht="15.75" customHeight="1">
      <c r="A471" s="203"/>
    </row>
    <row r="472" ht="15.75" customHeight="1">
      <c r="A472" s="203"/>
    </row>
    <row r="473" ht="15.75" customHeight="1">
      <c r="A473" s="203"/>
    </row>
    <row r="474" ht="15.75" customHeight="1">
      <c r="A474" s="203"/>
    </row>
    <row r="475" ht="15.75" customHeight="1">
      <c r="A475" s="203"/>
    </row>
    <row r="476" ht="15.75" customHeight="1">
      <c r="A476" s="203"/>
    </row>
    <row r="477" ht="15.75" customHeight="1">
      <c r="A477" s="203"/>
    </row>
    <row r="478" ht="15.75" customHeight="1">
      <c r="A478" s="203"/>
    </row>
    <row r="479" ht="15.75" customHeight="1">
      <c r="A479" s="203"/>
    </row>
    <row r="480" ht="15.75" customHeight="1">
      <c r="A480" s="203"/>
    </row>
    <row r="481" ht="15.75" customHeight="1">
      <c r="A481" s="203"/>
    </row>
    <row r="482" ht="15.75" customHeight="1">
      <c r="A482" s="203"/>
    </row>
    <row r="483" ht="15.75" customHeight="1">
      <c r="A483" s="203"/>
    </row>
    <row r="484" ht="15.75" customHeight="1">
      <c r="A484" s="203"/>
    </row>
    <row r="485" ht="15.75" customHeight="1">
      <c r="A485" s="203"/>
    </row>
    <row r="486" ht="15.75" customHeight="1">
      <c r="A486" s="203"/>
    </row>
    <row r="487" ht="15.75" customHeight="1">
      <c r="A487" s="203"/>
    </row>
    <row r="488" ht="15.75" customHeight="1">
      <c r="A488" s="203"/>
    </row>
    <row r="489" ht="15.75" customHeight="1">
      <c r="A489" s="203"/>
    </row>
    <row r="490" ht="15.75" customHeight="1">
      <c r="A490" s="203"/>
    </row>
    <row r="491" ht="15.75" customHeight="1">
      <c r="A491" s="203"/>
    </row>
    <row r="492" ht="15.75" customHeight="1">
      <c r="A492" s="203"/>
    </row>
    <row r="493" ht="15.75" customHeight="1">
      <c r="A493" s="203"/>
    </row>
    <row r="494" ht="15.75" customHeight="1">
      <c r="A494" s="203"/>
    </row>
    <row r="495" ht="15.75" customHeight="1">
      <c r="A495" s="203"/>
    </row>
    <row r="496" ht="15.75" customHeight="1">
      <c r="A496" s="203"/>
    </row>
    <row r="497" ht="15.75" customHeight="1">
      <c r="A497" s="203"/>
    </row>
    <row r="498" ht="15.75" customHeight="1">
      <c r="A498" s="203"/>
    </row>
    <row r="499" ht="15.75" customHeight="1">
      <c r="A499" s="203"/>
    </row>
    <row r="500" ht="15.75" customHeight="1">
      <c r="A500" s="203"/>
    </row>
    <row r="501" ht="15.75" customHeight="1">
      <c r="A501" s="203"/>
    </row>
    <row r="502" ht="15.75" customHeight="1">
      <c r="A502" s="203"/>
    </row>
    <row r="503" ht="15.75" customHeight="1">
      <c r="A503" s="203"/>
    </row>
    <row r="504" ht="15.75" customHeight="1">
      <c r="A504" s="203"/>
    </row>
    <row r="505" ht="15.75" customHeight="1">
      <c r="A505" s="203"/>
    </row>
    <row r="506" ht="15.75" customHeight="1">
      <c r="A506" s="203"/>
    </row>
    <row r="507" ht="15.75" customHeight="1">
      <c r="A507" s="203"/>
    </row>
    <row r="508" ht="15.75" customHeight="1">
      <c r="A508" s="203"/>
    </row>
    <row r="509" ht="15.75" customHeight="1">
      <c r="A509" s="203"/>
    </row>
    <row r="510" ht="15.75" customHeight="1">
      <c r="A510" s="203"/>
    </row>
    <row r="511" ht="15.75" customHeight="1">
      <c r="A511" s="203"/>
    </row>
    <row r="512" ht="15.75" customHeight="1">
      <c r="A512" s="203"/>
    </row>
    <row r="513" ht="15.75" customHeight="1">
      <c r="A513" s="203"/>
    </row>
    <row r="514" ht="15.75" customHeight="1">
      <c r="A514" s="203"/>
    </row>
    <row r="515" ht="15.75" customHeight="1">
      <c r="A515" s="203"/>
    </row>
    <row r="516" ht="15.75" customHeight="1">
      <c r="A516" s="203"/>
    </row>
    <row r="517" ht="15.75" customHeight="1">
      <c r="A517" s="203"/>
    </row>
    <row r="518" ht="15.75" customHeight="1">
      <c r="A518" s="203"/>
    </row>
    <row r="519" ht="15.75" customHeight="1">
      <c r="A519" s="203"/>
    </row>
    <row r="520" ht="15.75" customHeight="1">
      <c r="A520" s="203"/>
    </row>
    <row r="521" ht="15.75" customHeight="1">
      <c r="A521" s="203"/>
    </row>
    <row r="522" ht="15.75" customHeight="1">
      <c r="A522" s="203"/>
    </row>
    <row r="523" ht="15.75" customHeight="1">
      <c r="A523" s="203"/>
    </row>
    <row r="524" ht="15.75" customHeight="1">
      <c r="A524" s="203"/>
    </row>
    <row r="525" ht="15.75" customHeight="1">
      <c r="A525" s="203"/>
    </row>
    <row r="526" ht="15.75" customHeight="1">
      <c r="A526" s="203"/>
    </row>
    <row r="527" ht="15.75" customHeight="1">
      <c r="A527" s="203"/>
    </row>
    <row r="528" ht="15.75" customHeight="1">
      <c r="A528" s="203"/>
    </row>
    <row r="529" ht="15.75" customHeight="1">
      <c r="A529" s="203"/>
    </row>
    <row r="530" ht="15.75" customHeight="1">
      <c r="A530" s="203"/>
    </row>
    <row r="531" ht="15.75" customHeight="1">
      <c r="A531" s="203"/>
    </row>
    <row r="532" ht="15.75" customHeight="1">
      <c r="A532" s="203"/>
    </row>
    <row r="533" ht="15.75" customHeight="1">
      <c r="A533" s="203"/>
    </row>
    <row r="534" ht="15.75" customHeight="1">
      <c r="A534" s="203"/>
    </row>
    <row r="535" ht="15.75" customHeight="1">
      <c r="A535" s="203"/>
    </row>
    <row r="536" ht="15.75" customHeight="1">
      <c r="A536" s="203"/>
    </row>
    <row r="537" ht="15.75" customHeight="1">
      <c r="A537" s="203"/>
    </row>
    <row r="538" ht="15.75" customHeight="1">
      <c r="A538" s="203"/>
    </row>
    <row r="539" ht="15.75" customHeight="1">
      <c r="A539" s="203"/>
    </row>
    <row r="540" ht="15.75" customHeight="1">
      <c r="A540" s="203"/>
    </row>
    <row r="541" ht="15.75" customHeight="1">
      <c r="A541" s="203"/>
    </row>
    <row r="542" ht="15.75" customHeight="1">
      <c r="A542" s="203"/>
    </row>
    <row r="543" ht="15.75" customHeight="1">
      <c r="A543" s="203"/>
    </row>
    <row r="544" ht="15.75" customHeight="1">
      <c r="A544" s="203"/>
    </row>
    <row r="545" ht="15.75" customHeight="1">
      <c r="A545" s="203"/>
    </row>
    <row r="546" ht="15.75" customHeight="1">
      <c r="A546" s="203"/>
    </row>
    <row r="547" ht="15.75" customHeight="1">
      <c r="A547" s="203"/>
    </row>
    <row r="548" ht="15.75" customHeight="1">
      <c r="A548" s="203"/>
    </row>
    <row r="549" ht="15.75" customHeight="1">
      <c r="A549" s="203"/>
    </row>
    <row r="550" ht="15.75" customHeight="1">
      <c r="A550" s="203"/>
    </row>
    <row r="551" ht="15.75" customHeight="1">
      <c r="A551" s="203"/>
    </row>
    <row r="552" ht="15.75" customHeight="1">
      <c r="A552" s="203"/>
    </row>
    <row r="553" ht="15.75" customHeight="1">
      <c r="A553" s="203"/>
    </row>
    <row r="554" ht="15.75" customHeight="1">
      <c r="A554" s="203"/>
    </row>
    <row r="555" ht="15.75" customHeight="1">
      <c r="A555" s="203"/>
    </row>
    <row r="556" ht="15.75" customHeight="1">
      <c r="A556" s="203"/>
    </row>
    <row r="557" ht="15.75" customHeight="1">
      <c r="A557" s="203"/>
    </row>
    <row r="558" ht="15.75" customHeight="1">
      <c r="A558" s="203"/>
    </row>
    <row r="559" ht="15.75" customHeight="1">
      <c r="A559" s="203"/>
    </row>
    <row r="560" ht="15.75" customHeight="1">
      <c r="A560" s="203"/>
    </row>
    <row r="561" ht="15.75" customHeight="1">
      <c r="A561" s="203"/>
    </row>
    <row r="562" ht="15.75" customHeight="1">
      <c r="A562" s="203"/>
    </row>
    <row r="563" ht="15.75" customHeight="1">
      <c r="A563" s="203"/>
    </row>
    <row r="564" ht="15.75" customHeight="1">
      <c r="A564" s="203"/>
    </row>
    <row r="565" ht="15.75" customHeight="1">
      <c r="A565" s="203"/>
    </row>
    <row r="566" ht="15.75" customHeight="1">
      <c r="A566" s="203"/>
    </row>
    <row r="567" ht="15.75" customHeight="1">
      <c r="A567" s="203"/>
    </row>
    <row r="568" ht="15.75" customHeight="1">
      <c r="A568" s="203"/>
    </row>
    <row r="569" ht="15.75" customHeight="1">
      <c r="A569" s="203"/>
    </row>
    <row r="570" ht="15.75" customHeight="1">
      <c r="A570" s="203"/>
    </row>
    <row r="571" ht="15.75" customHeight="1">
      <c r="A571" s="203"/>
    </row>
    <row r="572" ht="15.75" customHeight="1">
      <c r="A572" s="203"/>
    </row>
    <row r="573" ht="15.75" customHeight="1">
      <c r="A573" s="203"/>
    </row>
    <row r="574" ht="15.75" customHeight="1">
      <c r="A574" s="203"/>
    </row>
    <row r="575" ht="15.75" customHeight="1">
      <c r="A575" s="203"/>
    </row>
    <row r="576" ht="15.75" customHeight="1">
      <c r="A576" s="203"/>
    </row>
    <row r="577" ht="15.75" customHeight="1">
      <c r="A577" s="203"/>
    </row>
    <row r="578" ht="15.75" customHeight="1">
      <c r="A578" s="203"/>
    </row>
    <row r="579" ht="15.75" customHeight="1">
      <c r="A579" s="203"/>
    </row>
    <row r="580" ht="15.75" customHeight="1">
      <c r="A580" s="203"/>
    </row>
    <row r="581" ht="15.75" customHeight="1">
      <c r="A581" s="203"/>
    </row>
    <row r="582" ht="15.75" customHeight="1">
      <c r="A582" s="203"/>
    </row>
    <row r="583" ht="15.75" customHeight="1">
      <c r="A583" s="203"/>
    </row>
    <row r="584" ht="15.75" customHeight="1">
      <c r="A584" s="203"/>
    </row>
    <row r="585" ht="15.75" customHeight="1">
      <c r="A585" s="203"/>
    </row>
    <row r="586" ht="15.75" customHeight="1">
      <c r="A586" s="203"/>
    </row>
    <row r="587" ht="15.75" customHeight="1">
      <c r="A587" s="203"/>
    </row>
    <row r="588" ht="15.75" customHeight="1">
      <c r="A588" s="203"/>
    </row>
    <row r="589" ht="15.75" customHeight="1">
      <c r="A589" s="203"/>
    </row>
    <row r="590" ht="15.75" customHeight="1">
      <c r="A590" s="203"/>
    </row>
    <row r="591" ht="15.75" customHeight="1">
      <c r="A591" s="203"/>
    </row>
    <row r="592" ht="15.75" customHeight="1">
      <c r="A592" s="203"/>
    </row>
    <row r="593" ht="15.75" customHeight="1">
      <c r="A593" s="203"/>
    </row>
    <row r="594" ht="15.75" customHeight="1">
      <c r="A594" s="203"/>
    </row>
    <row r="595" ht="15.75" customHeight="1">
      <c r="A595" s="203"/>
    </row>
    <row r="596" ht="15.75" customHeight="1">
      <c r="A596" s="203"/>
    </row>
    <row r="597" ht="15.75" customHeight="1">
      <c r="A597" s="203"/>
    </row>
    <row r="598" ht="15.75" customHeight="1">
      <c r="A598" s="203"/>
    </row>
    <row r="599" ht="15.75" customHeight="1">
      <c r="A599" s="203"/>
    </row>
    <row r="600" ht="15.75" customHeight="1">
      <c r="A600" s="203"/>
    </row>
    <row r="601" ht="15.75" customHeight="1">
      <c r="A601" s="203"/>
    </row>
    <row r="602" ht="15.75" customHeight="1">
      <c r="A602" s="203"/>
    </row>
    <row r="603" ht="15.75" customHeight="1">
      <c r="A603" s="203"/>
    </row>
    <row r="604" ht="15.75" customHeight="1">
      <c r="A604" s="203"/>
    </row>
    <row r="605" ht="15.75" customHeight="1">
      <c r="A605" s="203"/>
    </row>
    <row r="606" ht="15.75" customHeight="1">
      <c r="A606" s="203"/>
    </row>
    <row r="607" ht="15.75" customHeight="1">
      <c r="A607" s="203"/>
    </row>
    <row r="608" ht="15.75" customHeight="1">
      <c r="A608" s="203"/>
    </row>
    <row r="609" ht="15.75" customHeight="1">
      <c r="A609" s="203"/>
    </row>
    <row r="610" ht="15.75" customHeight="1">
      <c r="A610" s="203"/>
    </row>
    <row r="611" ht="15.75" customHeight="1">
      <c r="A611" s="203"/>
    </row>
    <row r="612" ht="15.75" customHeight="1">
      <c r="A612" s="203"/>
    </row>
    <row r="613" ht="15.75" customHeight="1">
      <c r="A613" s="203"/>
    </row>
    <row r="614" ht="15.75" customHeight="1">
      <c r="A614" s="203"/>
    </row>
    <row r="615" ht="15.75" customHeight="1">
      <c r="A615" s="203"/>
    </row>
    <row r="616" ht="15.75" customHeight="1">
      <c r="A616" s="203"/>
    </row>
    <row r="617" ht="15.75" customHeight="1">
      <c r="A617" s="203"/>
    </row>
    <row r="618" ht="15.75" customHeight="1">
      <c r="A618" s="203"/>
    </row>
    <row r="619" ht="15.75" customHeight="1">
      <c r="A619" s="203"/>
    </row>
    <row r="620" ht="15.75" customHeight="1">
      <c r="A620" s="203"/>
    </row>
    <row r="621" ht="15.75" customHeight="1">
      <c r="A621" s="203"/>
    </row>
    <row r="622" ht="15.75" customHeight="1">
      <c r="A622" s="203"/>
    </row>
    <row r="623" ht="15.75" customHeight="1">
      <c r="A623" s="203"/>
    </row>
    <row r="624" ht="15.75" customHeight="1">
      <c r="A624" s="203"/>
    </row>
    <row r="625" ht="15.75" customHeight="1">
      <c r="A625" s="203"/>
    </row>
    <row r="626" ht="15.75" customHeight="1">
      <c r="A626" s="203"/>
    </row>
    <row r="627" ht="15.75" customHeight="1">
      <c r="A627" s="203"/>
    </row>
    <row r="628" ht="15.75" customHeight="1">
      <c r="A628" s="203"/>
    </row>
    <row r="629" ht="15.75" customHeight="1">
      <c r="A629" s="203"/>
    </row>
    <row r="630" ht="15.75" customHeight="1">
      <c r="A630" s="203"/>
    </row>
    <row r="631" ht="15.75" customHeight="1">
      <c r="A631" s="203"/>
    </row>
    <row r="632" ht="15.75" customHeight="1">
      <c r="A632" s="203"/>
    </row>
    <row r="633" ht="15.75" customHeight="1">
      <c r="A633" s="203"/>
    </row>
    <row r="634" ht="15.75" customHeight="1">
      <c r="A634" s="203"/>
    </row>
    <row r="635" ht="15.75" customHeight="1">
      <c r="A635" s="203"/>
    </row>
    <row r="636" ht="15.75" customHeight="1">
      <c r="A636" s="203"/>
    </row>
    <row r="637" ht="15.75" customHeight="1">
      <c r="A637" s="203"/>
    </row>
    <row r="638" ht="15.75" customHeight="1">
      <c r="A638" s="203"/>
    </row>
    <row r="639" ht="15.75" customHeight="1">
      <c r="A639" s="203"/>
    </row>
    <row r="640" ht="15.75" customHeight="1">
      <c r="A640" s="203"/>
    </row>
    <row r="641" ht="15.75" customHeight="1">
      <c r="A641" s="203"/>
    </row>
    <row r="642" ht="15.75" customHeight="1">
      <c r="A642" s="203"/>
    </row>
    <row r="643" ht="15.75" customHeight="1">
      <c r="A643" s="203"/>
    </row>
    <row r="644" ht="15.75" customHeight="1">
      <c r="A644" s="203"/>
    </row>
    <row r="645" ht="15.75" customHeight="1">
      <c r="A645" s="203"/>
    </row>
    <row r="646" ht="15.75" customHeight="1">
      <c r="A646" s="203"/>
    </row>
    <row r="647" ht="15.75" customHeight="1">
      <c r="A647" s="203"/>
    </row>
    <row r="648" ht="15.75" customHeight="1">
      <c r="A648" s="203"/>
    </row>
    <row r="649" ht="15.75" customHeight="1">
      <c r="A649" s="203"/>
    </row>
    <row r="650" ht="15.75" customHeight="1">
      <c r="A650" s="203"/>
    </row>
    <row r="651" ht="15.75" customHeight="1">
      <c r="A651" s="203"/>
    </row>
    <row r="652" ht="15.75" customHeight="1">
      <c r="A652" s="203"/>
    </row>
    <row r="653" ht="15.75" customHeight="1">
      <c r="A653" s="203"/>
    </row>
    <row r="654" ht="15.75" customHeight="1">
      <c r="A654" s="203"/>
    </row>
    <row r="655" ht="15.75" customHeight="1">
      <c r="A655" s="203"/>
    </row>
    <row r="656" ht="15.75" customHeight="1">
      <c r="A656" s="203"/>
    </row>
    <row r="657" ht="15.75" customHeight="1">
      <c r="A657" s="203"/>
    </row>
    <row r="658" ht="15.75" customHeight="1">
      <c r="A658" s="203"/>
    </row>
    <row r="659" ht="15.75" customHeight="1">
      <c r="A659" s="203"/>
    </row>
    <row r="660" ht="15.75" customHeight="1">
      <c r="A660" s="203"/>
    </row>
    <row r="661" ht="15.75" customHeight="1">
      <c r="A661" s="203"/>
    </row>
    <row r="662" ht="15.75" customHeight="1">
      <c r="A662" s="203"/>
    </row>
    <row r="663" ht="15.75" customHeight="1">
      <c r="A663" s="203"/>
    </row>
    <row r="664" ht="15.75" customHeight="1">
      <c r="A664" s="203"/>
    </row>
    <row r="665" ht="15.75" customHeight="1">
      <c r="A665" s="203"/>
    </row>
    <row r="666" ht="15.75" customHeight="1">
      <c r="A666" s="203"/>
    </row>
    <row r="667" ht="15.75" customHeight="1">
      <c r="A667" s="203"/>
    </row>
    <row r="668" ht="15.75" customHeight="1">
      <c r="A668" s="203"/>
    </row>
    <row r="669" ht="15.75" customHeight="1">
      <c r="A669" s="203"/>
    </row>
    <row r="670" ht="15.75" customHeight="1">
      <c r="A670" s="203"/>
    </row>
    <row r="671" ht="15.75" customHeight="1">
      <c r="A671" s="203"/>
    </row>
    <row r="672" ht="15.75" customHeight="1">
      <c r="A672" s="203"/>
    </row>
    <row r="673" ht="15.75" customHeight="1">
      <c r="A673" s="203"/>
    </row>
    <row r="674" ht="15.75" customHeight="1">
      <c r="A674" s="203"/>
    </row>
    <row r="675" ht="15.75" customHeight="1">
      <c r="A675" s="203"/>
    </row>
    <row r="676" ht="15.75" customHeight="1">
      <c r="A676" s="203"/>
    </row>
    <row r="677" ht="15.75" customHeight="1">
      <c r="A677" s="203"/>
    </row>
    <row r="678" ht="15.75" customHeight="1">
      <c r="A678" s="203"/>
    </row>
    <row r="679" ht="15.75" customHeight="1">
      <c r="A679" s="203"/>
    </row>
    <row r="680" ht="15.75" customHeight="1">
      <c r="A680" s="203"/>
    </row>
    <row r="681" ht="15.75" customHeight="1">
      <c r="A681" s="203"/>
    </row>
    <row r="682" ht="15.75" customHeight="1">
      <c r="A682" s="203"/>
    </row>
    <row r="683" ht="15.75" customHeight="1">
      <c r="A683" s="203"/>
    </row>
    <row r="684" ht="15.75" customHeight="1">
      <c r="A684" s="203"/>
    </row>
    <row r="685" ht="15.75" customHeight="1">
      <c r="A685" s="203"/>
    </row>
    <row r="686" ht="15.75" customHeight="1">
      <c r="A686" s="203"/>
    </row>
    <row r="687" ht="15.75" customHeight="1">
      <c r="A687" s="203"/>
    </row>
    <row r="688" ht="15.75" customHeight="1">
      <c r="A688" s="203"/>
    </row>
    <row r="689" ht="15.75" customHeight="1">
      <c r="A689" s="203"/>
    </row>
    <row r="690" ht="15.75" customHeight="1">
      <c r="A690" s="203"/>
    </row>
    <row r="691" ht="15.75" customHeight="1">
      <c r="A691" s="203"/>
    </row>
    <row r="692" ht="15.75" customHeight="1">
      <c r="A692" s="203"/>
    </row>
    <row r="693" ht="15.75" customHeight="1">
      <c r="A693" s="203"/>
    </row>
    <row r="694" ht="15.75" customHeight="1">
      <c r="A694" s="203"/>
    </row>
    <row r="695" ht="15.75" customHeight="1">
      <c r="A695" s="203"/>
    </row>
    <row r="696" ht="15.75" customHeight="1">
      <c r="A696" s="203"/>
    </row>
    <row r="697" ht="15.75" customHeight="1">
      <c r="A697" s="203"/>
    </row>
    <row r="698" ht="15.75" customHeight="1">
      <c r="A698" s="203"/>
    </row>
    <row r="699" ht="15.75" customHeight="1">
      <c r="A699" s="203"/>
    </row>
    <row r="700" ht="15.75" customHeight="1">
      <c r="A700" s="203"/>
    </row>
    <row r="701" ht="15.75" customHeight="1">
      <c r="A701" s="203"/>
    </row>
    <row r="702" ht="15.75" customHeight="1">
      <c r="A702" s="203"/>
    </row>
    <row r="703" ht="15.75" customHeight="1">
      <c r="A703" s="203"/>
    </row>
    <row r="704" ht="15.75" customHeight="1">
      <c r="A704" s="203"/>
    </row>
    <row r="705" ht="15.75" customHeight="1">
      <c r="A705" s="203"/>
    </row>
    <row r="706" ht="15.75" customHeight="1">
      <c r="A706" s="203"/>
    </row>
    <row r="707" ht="15.75" customHeight="1">
      <c r="A707" s="203"/>
    </row>
    <row r="708" ht="15.75" customHeight="1">
      <c r="A708" s="203"/>
    </row>
    <row r="709" ht="15.75" customHeight="1">
      <c r="A709" s="203"/>
    </row>
    <row r="710" ht="15.75" customHeight="1">
      <c r="A710" s="203"/>
    </row>
    <row r="711" ht="15.75" customHeight="1">
      <c r="A711" s="203"/>
    </row>
    <row r="712" ht="15.75" customHeight="1">
      <c r="A712" s="203"/>
    </row>
    <row r="713" ht="15.75" customHeight="1">
      <c r="A713" s="203"/>
    </row>
    <row r="714" ht="15.75" customHeight="1">
      <c r="A714" s="203"/>
    </row>
    <row r="715" ht="15.75" customHeight="1">
      <c r="A715" s="203"/>
    </row>
    <row r="716" ht="15.75" customHeight="1">
      <c r="A716" s="203"/>
    </row>
    <row r="717" ht="15.75" customHeight="1">
      <c r="A717" s="203"/>
    </row>
    <row r="718" ht="15.75" customHeight="1">
      <c r="A718" s="203"/>
    </row>
    <row r="719" ht="15.75" customHeight="1">
      <c r="A719" s="203"/>
    </row>
    <row r="720" ht="15.75" customHeight="1">
      <c r="A720" s="203"/>
    </row>
    <row r="721" ht="15.75" customHeight="1">
      <c r="A721" s="203"/>
    </row>
    <row r="722" ht="15.75" customHeight="1">
      <c r="A722" s="203"/>
    </row>
    <row r="723" ht="15.75" customHeight="1">
      <c r="A723" s="203"/>
    </row>
    <row r="724" ht="15.75" customHeight="1">
      <c r="A724" s="203"/>
    </row>
    <row r="725" ht="15.75" customHeight="1">
      <c r="A725" s="203"/>
    </row>
    <row r="726" ht="15.75" customHeight="1">
      <c r="A726" s="203"/>
    </row>
    <row r="727" ht="15.75" customHeight="1">
      <c r="A727" s="203"/>
    </row>
    <row r="728" ht="15.75" customHeight="1">
      <c r="A728" s="203"/>
    </row>
    <row r="729" ht="15.75" customHeight="1">
      <c r="A729" s="203"/>
    </row>
    <row r="730" ht="15.75" customHeight="1">
      <c r="A730" s="203"/>
    </row>
    <row r="731" ht="15.75" customHeight="1">
      <c r="A731" s="203"/>
    </row>
    <row r="732" ht="15.75" customHeight="1">
      <c r="A732" s="203"/>
    </row>
    <row r="733" ht="15.75" customHeight="1">
      <c r="A733" s="203"/>
    </row>
    <row r="734" ht="15.75" customHeight="1">
      <c r="A734" s="203"/>
    </row>
    <row r="735" ht="15.75" customHeight="1">
      <c r="A735" s="203"/>
    </row>
    <row r="736" ht="15.75" customHeight="1">
      <c r="A736" s="203"/>
    </row>
    <row r="737" ht="15.75" customHeight="1">
      <c r="A737" s="203"/>
    </row>
    <row r="738" ht="15.75" customHeight="1">
      <c r="A738" s="203"/>
    </row>
    <row r="739" ht="15.75" customHeight="1">
      <c r="A739" s="203"/>
    </row>
    <row r="740" ht="15.75" customHeight="1">
      <c r="A740" s="203"/>
    </row>
    <row r="741" ht="15.75" customHeight="1">
      <c r="A741" s="203"/>
    </row>
    <row r="742" ht="15.75" customHeight="1">
      <c r="A742" s="203"/>
    </row>
    <row r="743" ht="15.75" customHeight="1">
      <c r="A743" s="203"/>
    </row>
    <row r="744" ht="15.75" customHeight="1">
      <c r="A744" s="203"/>
    </row>
    <row r="745" ht="15.75" customHeight="1">
      <c r="A745" s="203"/>
    </row>
    <row r="746" ht="15.75" customHeight="1">
      <c r="A746" s="203"/>
    </row>
    <row r="747" ht="15.75" customHeight="1">
      <c r="A747" s="203"/>
    </row>
    <row r="748" ht="15.75" customHeight="1">
      <c r="A748" s="203"/>
    </row>
    <row r="749" ht="15.75" customHeight="1">
      <c r="A749" s="203"/>
    </row>
    <row r="750" ht="15.75" customHeight="1">
      <c r="A750" s="203"/>
    </row>
    <row r="751" ht="15.75" customHeight="1">
      <c r="A751" s="203"/>
    </row>
    <row r="752" ht="15.75" customHeight="1">
      <c r="A752" s="203"/>
    </row>
    <row r="753" ht="15.75" customHeight="1">
      <c r="A753" s="203"/>
    </row>
    <row r="754" ht="15.75" customHeight="1">
      <c r="A754" s="203"/>
    </row>
    <row r="755" ht="15.75" customHeight="1">
      <c r="A755" s="203"/>
    </row>
    <row r="756" ht="15.75" customHeight="1">
      <c r="A756" s="203"/>
    </row>
    <row r="757" ht="15.75" customHeight="1">
      <c r="A757" s="203"/>
    </row>
    <row r="758" ht="15.75" customHeight="1">
      <c r="A758" s="203"/>
    </row>
    <row r="759" ht="15.75" customHeight="1">
      <c r="A759" s="203"/>
    </row>
    <row r="760" ht="15.75" customHeight="1">
      <c r="A760" s="203"/>
    </row>
    <row r="761" ht="15.75" customHeight="1">
      <c r="A761" s="203"/>
    </row>
    <row r="762" ht="15.75" customHeight="1">
      <c r="A762" s="203"/>
    </row>
    <row r="763" ht="15.75" customHeight="1">
      <c r="A763" s="203"/>
    </row>
    <row r="764" ht="15.75" customHeight="1">
      <c r="A764" s="203"/>
    </row>
    <row r="765" ht="15.75" customHeight="1">
      <c r="A765" s="203"/>
    </row>
    <row r="766" ht="15.75" customHeight="1">
      <c r="A766" s="203"/>
    </row>
    <row r="767" ht="15.75" customHeight="1">
      <c r="A767" s="203"/>
    </row>
    <row r="768" ht="15.75" customHeight="1">
      <c r="A768" s="203"/>
    </row>
    <row r="769" ht="15.75" customHeight="1">
      <c r="A769" s="203"/>
    </row>
    <row r="770" ht="15.75" customHeight="1">
      <c r="A770" s="203"/>
    </row>
    <row r="771" ht="15.75" customHeight="1">
      <c r="A771" s="203"/>
    </row>
    <row r="772" ht="15.75" customHeight="1">
      <c r="A772" s="203"/>
    </row>
    <row r="773" ht="15.75" customHeight="1">
      <c r="A773" s="203"/>
    </row>
    <row r="774" ht="15.75" customHeight="1">
      <c r="A774" s="203"/>
    </row>
    <row r="775" ht="15.75" customHeight="1">
      <c r="A775" s="203"/>
    </row>
    <row r="776" ht="15.75" customHeight="1">
      <c r="A776" s="203"/>
    </row>
    <row r="777" ht="15.75" customHeight="1">
      <c r="A777" s="203"/>
    </row>
    <row r="778" ht="15.75" customHeight="1">
      <c r="A778" s="203"/>
    </row>
    <row r="779" ht="15.75" customHeight="1">
      <c r="A779" s="203"/>
    </row>
    <row r="780" ht="15.75" customHeight="1">
      <c r="A780" s="203"/>
    </row>
    <row r="781" ht="15.75" customHeight="1">
      <c r="A781" s="203"/>
    </row>
    <row r="782" ht="15.75" customHeight="1">
      <c r="A782" s="203"/>
    </row>
    <row r="783" ht="15.75" customHeight="1">
      <c r="A783" s="203"/>
    </row>
    <row r="784" ht="15.75" customHeight="1">
      <c r="A784" s="203"/>
    </row>
    <row r="785" ht="15.75" customHeight="1">
      <c r="A785" s="203"/>
    </row>
    <row r="786" ht="15.75" customHeight="1">
      <c r="A786" s="203"/>
    </row>
    <row r="787" ht="15.75" customHeight="1">
      <c r="A787" s="203"/>
    </row>
    <row r="788" ht="15.75" customHeight="1">
      <c r="A788" s="203"/>
    </row>
    <row r="789" ht="15.75" customHeight="1">
      <c r="A789" s="203"/>
    </row>
    <row r="790" ht="15.75" customHeight="1">
      <c r="A790" s="203"/>
    </row>
    <row r="791" ht="15.75" customHeight="1">
      <c r="A791" s="203"/>
    </row>
    <row r="792" ht="15.75" customHeight="1">
      <c r="A792" s="203"/>
    </row>
    <row r="793" ht="15.75" customHeight="1">
      <c r="A793" s="203"/>
    </row>
    <row r="794" ht="15.75" customHeight="1">
      <c r="A794" s="203"/>
    </row>
    <row r="795" ht="15.75" customHeight="1">
      <c r="A795" s="203"/>
    </row>
    <row r="796" ht="15.75" customHeight="1">
      <c r="A796" s="203"/>
    </row>
    <row r="797" ht="15.75" customHeight="1">
      <c r="A797" s="203"/>
    </row>
    <row r="798" ht="15.75" customHeight="1">
      <c r="A798" s="203"/>
    </row>
    <row r="799" ht="15.75" customHeight="1">
      <c r="A799" s="203"/>
    </row>
    <row r="800" ht="15.75" customHeight="1">
      <c r="A800" s="203"/>
    </row>
    <row r="801" ht="15.75" customHeight="1">
      <c r="A801" s="203"/>
    </row>
    <row r="802" ht="15.75" customHeight="1">
      <c r="A802" s="203"/>
    </row>
    <row r="803" ht="15.75" customHeight="1">
      <c r="A803" s="203"/>
    </row>
    <row r="804" ht="15.75" customHeight="1">
      <c r="A804" s="203"/>
    </row>
    <row r="805" ht="15.75" customHeight="1">
      <c r="A805" s="203"/>
    </row>
    <row r="806" ht="15.75" customHeight="1">
      <c r="A806" s="203"/>
    </row>
    <row r="807" ht="15.75" customHeight="1">
      <c r="A807" s="203"/>
    </row>
    <row r="808" ht="15.75" customHeight="1">
      <c r="A808" s="203"/>
    </row>
    <row r="809" ht="15.75" customHeight="1">
      <c r="A809" s="203"/>
    </row>
    <row r="810" ht="15.75" customHeight="1">
      <c r="A810" s="203"/>
    </row>
    <row r="811" ht="15.75" customHeight="1">
      <c r="A811" s="203"/>
    </row>
    <row r="812" ht="15.75" customHeight="1">
      <c r="A812" s="203"/>
    </row>
    <row r="813" ht="15.75" customHeight="1">
      <c r="A813" s="203"/>
    </row>
    <row r="814" ht="15.75" customHeight="1">
      <c r="A814" s="203"/>
    </row>
    <row r="815" ht="15.75" customHeight="1">
      <c r="A815" s="203"/>
    </row>
    <row r="816" ht="15.75" customHeight="1">
      <c r="A816" s="203"/>
    </row>
    <row r="817" ht="15.75" customHeight="1">
      <c r="A817" s="203"/>
    </row>
    <row r="818" ht="15.75" customHeight="1">
      <c r="A818" s="203"/>
    </row>
    <row r="819" ht="15.75" customHeight="1">
      <c r="A819" s="203"/>
    </row>
    <row r="820" ht="15.75" customHeight="1">
      <c r="A820" s="203"/>
    </row>
    <row r="821" ht="15.75" customHeight="1">
      <c r="A821" s="203"/>
    </row>
    <row r="822" ht="15.75" customHeight="1">
      <c r="A822" s="203"/>
    </row>
    <row r="823" ht="15.75" customHeight="1">
      <c r="A823" s="203"/>
    </row>
    <row r="824" ht="15.75" customHeight="1">
      <c r="A824" s="203"/>
    </row>
    <row r="825" ht="15.75" customHeight="1">
      <c r="A825" s="203"/>
    </row>
    <row r="826" ht="15.75" customHeight="1">
      <c r="A826" s="203"/>
    </row>
    <row r="827" ht="15.75" customHeight="1">
      <c r="A827" s="203"/>
    </row>
    <row r="828" ht="15.75" customHeight="1">
      <c r="A828" s="203"/>
    </row>
    <row r="829" ht="15.75" customHeight="1">
      <c r="A829" s="203"/>
    </row>
    <row r="830" ht="15.75" customHeight="1">
      <c r="A830" s="203"/>
    </row>
    <row r="831" ht="15.75" customHeight="1">
      <c r="A831" s="203"/>
    </row>
    <row r="832" ht="15.75" customHeight="1">
      <c r="A832" s="203"/>
    </row>
    <row r="833" ht="15.75" customHeight="1">
      <c r="A833" s="203"/>
    </row>
    <row r="834" ht="15.75" customHeight="1">
      <c r="A834" s="203"/>
    </row>
    <row r="835" ht="15.75" customHeight="1">
      <c r="A835" s="203"/>
    </row>
    <row r="836" ht="15.75" customHeight="1">
      <c r="A836" s="203"/>
    </row>
    <row r="837" ht="15.75" customHeight="1">
      <c r="A837" s="203"/>
    </row>
    <row r="838" ht="15.75" customHeight="1">
      <c r="A838" s="203"/>
    </row>
    <row r="839" ht="15.75" customHeight="1">
      <c r="A839" s="203"/>
    </row>
    <row r="840" ht="15.75" customHeight="1">
      <c r="A840" s="203"/>
    </row>
    <row r="841" ht="15.75" customHeight="1">
      <c r="A841" s="203"/>
    </row>
    <row r="842" ht="15.75" customHeight="1">
      <c r="A842" s="203"/>
    </row>
    <row r="843" ht="15.75" customHeight="1">
      <c r="A843" s="203"/>
    </row>
    <row r="844" ht="15.75" customHeight="1">
      <c r="A844" s="203"/>
    </row>
    <row r="845" ht="15.75" customHeight="1">
      <c r="A845" s="203"/>
    </row>
    <row r="846" ht="15.75" customHeight="1">
      <c r="A846" s="203"/>
    </row>
    <row r="847" ht="15.75" customHeight="1">
      <c r="A847" s="203"/>
    </row>
    <row r="848" ht="15.75" customHeight="1">
      <c r="A848" s="203"/>
    </row>
    <row r="849" ht="15.75" customHeight="1">
      <c r="A849" s="203"/>
    </row>
    <row r="850" ht="15.75" customHeight="1">
      <c r="A850" s="203"/>
    </row>
    <row r="851" ht="15.75" customHeight="1">
      <c r="A851" s="203"/>
    </row>
    <row r="852" ht="15.75" customHeight="1">
      <c r="A852" s="203"/>
    </row>
    <row r="853" ht="15.75" customHeight="1">
      <c r="A853" s="203"/>
    </row>
    <row r="854" ht="15.75" customHeight="1">
      <c r="A854" s="203"/>
    </row>
    <row r="855" ht="15.75" customHeight="1">
      <c r="A855" s="203"/>
    </row>
    <row r="856" ht="15.75" customHeight="1">
      <c r="A856" s="203"/>
    </row>
    <row r="857" ht="15.75" customHeight="1">
      <c r="A857" s="203"/>
    </row>
    <row r="858" ht="15.75" customHeight="1">
      <c r="A858" s="203"/>
    </row>
    <row r="859" ht="15.75" customHeight="1">
      <c r="A859" s="203"/>
    </row>
    <row r="860" ht="15.75" customHeight="1">
      <c r="A860" s="203"/>
    </row>
    <row r="861" ht="15.75" customHeight="1">
      <c r="A861" s="203"/>
    </row>
    <row r="862" ht="15.75" customHeight="1">
      <c r="A862" s="203"/>
    </row>
    <row r="863" ht="15.75" customHeight="1">
      <c r="A863" s="203"/>
    </row>
    <row r="864" ht="15.75" customHeight="1">
      <c r="A864" s="203"/>
    </row>
    <row r="865" ht="15.75" customHeight="1">
      <c r="A865" s="203"/>
    </row>
    <row r="866" ht="15.75" customHeight="1">
      <c r="A866" s="203"/>
    </row>
    <row r="867" ht="15.75" customHeight="1">
      <c r="A867" s="203"/>
    </row>
    <row r="868" ht="15.75" customHeight="1">
      <c r="A868" s="203"/>
    </row>
    <row r="869" ht="15.75" customHeight="1">
      <c r="A869" s="203"/>
    </row>
    <row r="870" ht="15.75" customHeight="1">
      <c r="A870" s="203"/>
    </row>
    <row r="871" ht="15.75" customHeight="1">
      <c r="A871" s="203"/>
    </row>
    <row r="872" ht="15.75" customHeight="1">
      <c r="A872" s="203"/>
    </row>
    <row r="873" ht="15.75" customHeight="1">
      <c r="A873" s="203"/>
    </row>
    <row r="874" ht="15.75" customHeight="1">
      <c r="A874" s="203"/>
    </row>
    <row r="875" ht="15.75" customHeight="1">
      <c r="A875" s="203"/>
    </row>
    <row r="876" ht="15.75" customHeight="1">
      <c r="A876" s="203"/>
    </row>
    <row r="877" ht="15.75" customHeight="1">
      <c r="A877" s="203"/>
    </row>
    <row r="878" ht="15.75" customHeight="1">
      <c r="A878" s="203"/>
    </row>
    <row r="879" ht="15.75" customHeight="1">
      <c r="A879" s="203"/>
    </row>
    <row r="880" ht="15.75" customHeight="1">
      <c r="A880" s="203"/>
    </row>
    <row r="881" ht="15.75" customHeight="1">
      <c r="A881" s="203"/>
    </row>
    <row r="882" ht="15.75" customHeight="1">
      <c r="A882" s="203"/>
    </row>
    <row r="883" ht="15.75" customHeight="1">
      <c r="A883" s="203"/>
    </row>
    <row r="884" ht="15.75" customHeight="1">
      <c r="A884" s="203"/>
    </row>
    <row r="885" ht="15.75" customHeight="1">
      <c r="A885" s="203"/>
    </row>
    <row r="886" ht="15.75" customHeight="1">
      <c r="A886" s="203"/>
    </row>
    <row r="887" ht="15.75" customHeight="1">
      <c r="A887" s="203"/>
    </row>
    <row r="888" ht="15.75" customHeight="1">
      <c r="A888" s="203"/>
    </row>
    <row r="889" ht="15.75" customHeight="1">
      <c r="A889" s="203"/>
    </row>
    <row r="890" ht="15.75" customHeight="1">
      <c r="A890" s="203"/>
    </row>
    <row r="891" ht="15.75" customHeight="1">
      <c r="A891" s="203"/>
    </row>
    <row r="892" ht="15.75" customHeight="1">
      <c r="A892" s="203"/>
    </row>
    <row r="893" ht="15.75" customHeight="1">
      <c r="A893" s="203"/>
    </row>
    <row r="894" ht="15.75" customHeight="1">
      <c r="A894" s="203"/>
    </row>
    <row r="895" ht="15.75" customHeight="1">
      <c r="A895" s="203"/>
    </row>
    <row r="896" ht="15.75" customHeight="1">
      <c r="A896" s="203"/>
    </row>
    <row r="897" ht="15.75" customHeight="1">
      <c r="A897" s="203"/>
    </row>
    <row r="898" ht="15.75" customHeight="1">
      <c r="A898" s="203"/>
    </row>
    <row r="899" ht="15.75" customHeight="1">
      <c r="A899" s="203"/>
    </row>
    <row r="900" ht="15.75" customHeight="1">
      <c r="A900" s="203"/>
    </row>
    <row r="901" ht="15.75" customHeight="1">
      <c r="A901" s="203"/>
    </row>
    <row r="902" ht="15.75" customHeight="1">
      <c r="A902" s="203"/>
    </row>
    <row r="903" ht="15.75" customHeight="1">
      <c r="A903" s="203"/>
    </row>
    <row r="904" ht="15.75" customHeight="1">
      <c r="A904" s="203"/>
    </row>
    <row r="905" ht="15.75" customHeight="1">
      <c r="A905" s="203"/>
    </row>
    <row r="906" ht="15.75" customHeight="1">
      <c r="A906" s="203"/>
    </row>
    <row r="907" ht="15.75" customHeight="1">
      <c r="A907" s="203"/>
    </row>
    <row r="908" ht="15.75" customHeight="1">
      <c r="A908" s="203"/>
    </row>
    <row r="909" ht="15.75" customHeight="1">
      <c r="A909" s="203"/>
    </row>
    <row r="910" ht="15.75" customHeight="1">
      <c r="A910" s="203"/>
    </row>
    <row r="911" ht="15.75" customHeight="1">
      <c r="A911" s="203"/>
    </row>
    <row r="912" ht="15.75" customHeight="1">
      <c r="A912" s="203"/>
    </row>
    <row r="913" ht="15.75" customHeight="1">
      <c r="A913" s="203"/>
    </row>
    <row r="914" ht="15.75" customHeight="1">
      <c r="A914" s="203"/>
    </row>
    <row r="915" ht="15.75" customHeight="1">
      <c r="A915" s="203"/>
    </row>
    <row r="916" ht="15.75" customHeight="1">
      <c r="A916" s="203"/>
    </row>
    <row r="917" ht="15.75" customHeight="1">
      <c r="A917" s="203"/>
    </row>
    <row r="918" ht="15.75" customHeight="1">
      <c r="A918" s="203"/>
    </row>
    <row r="919" ht="15.75" customHeight="1">
      <c r="A919" s="203"/>
    </row>
    <row r="920" ht="15.75" customHeight="1">
      <c r="A920" s="203"/>
    </row>
    <row r="921" ht="15.75" customHeight="1">
      <c r="A921" s="203"/>
    </row>
    <row r="922" ht="15.75" customHeight="1">
      <c r="A922" s="203"/>
    </row>
    <row r="923" ht="15.75" customHeight="1">
      <c r="A923" s="203"/>
    </row>
    <row r="924" ht="15.75" customHeight="1">
      <c r="A924" s="203"/>
    </row>
    <row r="925" ht="15.75" customHeight="1">
      <c r="A925" s="203"/>
    </row>
    <row r="926" ht="15.75" customHeight="1">
      <c r="A926" s="203"/>
    </row>
    <row r="927" ht="15.75" customHeight="1">
      <c r="A927" s="203"/>
    </row>
    <row r="928" ht="15.75" customHeight="1">
      <c r="A928" s="203"/>
    </row>
    <row r="929" ht="15.75" customHeight="1">
      <c r="A929" s="203"/>
    </row>
    <row r="930" ht="15.75" customHeight="1">
      <c r="A930" s="203"/>
    </row>
    <row r="931" ht="15.75" customHeight="1">
      <c r="A931" s="203"/>
    </row>
    <row r="932" ht="15.75" customHeight="1">
      <c r="A932" s="203"/>
    </row>
    <row r="933" ht="15.75" customHeight="1">
      <c r="A933" s="203"/>
    </row>
    <row r="934" ht="15.75" customHeight="1">
      <c r="A934" s="203"/>
    </row>
    <row r="935" ht="15.75" customHeight="1">
      <c r="A935" s="203"/>
    </row>
    <row r="936" ht="15.75" customHeight="1">
      <c r="A936" s="203"/>
    </row>
    <row r="937" ht="15.75" customHeight="1">
      <c r="A937" s="203"/>
    </row>
    <row r="938" ht="15.75" customHeight="1">
      <c r="A938" s="203"/>
    </row>
    <row r="939" ht="15.75" customHeight="1">
      <c r="A939" s="203"/>
    </row>
    <row r="940" ht="15.75" customHeight="1">
      <c r="A940" s="203"/>
    </row>
    <row r="941" ht="15.75" customHeight="1">
      <c r="A941" s="203"/>
    </row>
    <row r="942" ht="15.75" customHeight="1">
      <c r="A942" s="203"/>
    </row>
    <row r="943" ht="15.75" customHeight="1">
      <c r="A943" s="203"/>
    </row>
    <row r="944" ht="15.75" customHeight="1">
      <c r="A944" s="203"/>
    </row>
    <row r="945" ht="15.75" customHeight="1">
      <c r="A945" s="203"/>
    </row>
    <row r="946" ht="15.75" customHeight="1">
      <c r="A946" s="203"/>
    </row>
    <row r="947" ht="15.75" customHeight="1">
      <c r="A947" s="203"/>
    </row>
    <row r="948" ht="15.75" customHeight="1">
      <c r="A948" s="203"/>
    </row>
    <row r="949" ht="15.75" customHeight="1">
      <c r="A949" s="203"/>
    </row>
    <row r="950" ht="15.75" customHeight="1">
      <c r="A950" s="203"/>
    </row>
    <row r="951" ht="15.75" customHeight="1">
      <c r="A951" s="203"/>
    </row>
    <row r="952" ht="15.75" customHeight="1">
      <c r="A952" s="203"/>
    </row>
    <row r="953" ht="15.75" customHeight="1">
      <c r="A953" s="203"/>
    </row>
    <row r="954" ht="15.75" customHeight="1">
      <c r="A954" s="203"/>
    </row>
    <row r="955" ht="15.75" customHeight="1">
      <c r="A955" s="203"/>
    </row>
    <row r="956" ht="15.75" customHeight="1">
      <c r="A956" s="203"/>
    </row>
    <row r="957" ht="15.75" customHeight="1">
      <c r="A957" s="203"/>
    </row>
    <row r="958" ht="15.75" customHeight="1">
      <c r="A958" s="203"/>
    </row>
    <row r="959" ht="15.75" customHeight="1">
      <c r="A959" s="203"/>
    </row>
    <row r="960" ht="15.75" customHeight="1">
      <c r="A960" s="203"/>
    </row>
    <row r="961" ht="15.75" customHeight="1">
      <c r="A961" s="203"/>
    </row>
    <row r="962" ht="15.75" customHeight="1">
      <c r="A962" s="203"/>
    </row>
    <row r="963" ht="15.75" customHeight="1">
      <c r="A963" s="203"/>
    </row>
    <row r="964" ht="15.75" customHeight="1">
      <c r="A964" s="203"/>
    </row>
    <row r="965" ht="15.75" customHeight="1">
      <c r="A965" s="203"/>
    </row>
    <row r="966" ht="15.75" customHeight="1">
      <c r="A966" s="203"/>
    </row>
    <row r="967" ht="15.75" customHeight="1">
      <c r="A967" s="203"/>
    </row>
    <row r="968" ht="15.75" customHeight="1">
      <c r="A968" s="203"/>
    </row>
    <row r="969" ht="15.75" customHeight="1">
      <c r="A969" s="203"/>
    </row>
    <row r="970" ht="15.75" customHeight="1">
      <c r="A970" s="203"/>
    </row>
    <row r="971" ht="15.75" customHeight="1">
      <c r="A971" s="203"/>
    </row>
    <row r="972" ht="15.75" customHeight="1">
      <c r="A972" s="203"/>
    </row>
    <row r="973" ht="15.75" customHeight="1">
      <c r="A973" s="203"/>
    </row>
    <row r="974" ht="15.75" customHeight="1">
      <c r="A974" s="203"/>
    </row>
    <row r="975" ht="15.75" customHeight="1">
      <c r="A975" s="203"/>
    </row>
    <row r="976" ht="15.75" customHeight="1">
      <c r="A976" s="203"/>
    </row>
    <row r="977" ht="15.75" customHeight="1">
      <c r="A977" s="203"/>
    </row>
    <row r="978" ht="15.75" customHeight="1">
      <c r="A978" s="203"/>
    </row>
    <row r="979" ht="15.75" customHeight="1">
      <c r="A979" s="203"/>
    </row>
    <row r="980" ht="15.75" customHeight="1">
      <c r="A980" s="203"/>
    </row>
    <row r="981" ht="15.75" customHeight="1">
      <c r="A981" s="203"/>
    </row>
    <row r="982" ht="15.75" customHeight="1">
      <c r="A982" s="203"/>
    </row>
    <row r="983" ht="15.75" customHeight="1">
      <c r="A983" s="203"/>
    </row>
    <row r="984" ht="15.75" customHeight="1">
      <c r="A984" s="203"/>
    </row>
    <row r="985" ht="15.75" customHeight="1">
      <c r="A985" s="203"/>
    </row>
    <row r="986" ht="15.75" customHeight="1">
      <c r="A986" s="203"/>
    </row>
    <row r="987" ht="15.75" customHeight="1">
      <c r="A987" s="203"/>
    </row>
    <row r="988" ht="15.75" customHeight="1">
      <c r="A988" s="203"/>
    </row>
    <row r="989" ht="15.75" customHeight="1">
      <c r="A989" s="203"/>
    </row>
    <row r="990" ht="15.75" customHeight="1">
      <c r="A990" s="203"/>
    </row>
    <row r="991" ht="15.75" customHeight="1">
      <c r="A991" s="203"/>
    </row>
    <row r="992" ht="15.75" customHeight="1">
      <c r="A992" s="203"/>
    </row>
    <row r="993" ht="15.75" customHeight="1">
      <c r="A993" s="203"/>
    </row>
    <row r="994" ht="15.75" customHeight="1">
      <c r="A994" s="203"/>
    </row>
    <row r="995" ht="15.75" customHeight="1">
      <c r="A995" s="203"/>
    </row>
    <row r="996" ht="15.75" customHeight="1">
      <c r="A996" s="203"/>
    </row>
    <row r="997" ht="15.75" customHeight="1">
      <c r="A997" s="203"/>
    </row>
    <row r="998" ht="15.75" customHeight="1">
      <c r="A998" s="203"/>
    </row>
    <row r="999" ht="15.75" customHeight="1">
      <c r="A999" s="203"/>
    </row>
    <row r="1000" ht="15.75" customHeight="1">
      <c r="A1000" s="203"/>
    </row>
  </sheetData>
  <conditionalFormatting sqref="B2:B7">
    <cfRule type="cellIs" dxfId="0" priority="1" operator="greaterThanOrEqual">
      <formula>4.7</formula>
    </cfRule>
  </conditionalFormatting>
  <conditionalFormatting sqref="B2:B7">
    <cfRule type="expression" dxfId="1" priority="2">
      <formula>AND(B2&lt;4.7 , B2&gt;=3.7)</formula>
    </cfRule>
  </conditionalFormatting>
  <conditionalFormatting sqref="B2:B7">
    <cfRule type="expression" dxfId="2" priority="3">
      <formula>AND(B2&lt;3.7 , B2&gt;=2.7)</formula>
    </cfRule>
  </conditionalFormatting>
  <conditionalFormatting sqref="B2:B7">
    <cfRule type="expression" dxfId="3" priority="4">
      <formula>AND(B2&lt;2.7,B2&gt;=1.7)</formula>
    </cfRule>
  </conditionalFormatting>
  <conditionalFormatting sqref="B2:B7">
    <cfRule type="cellIs" dxfId="4" priority="5" operator="lessThan">
      <formula>1.7</formula>
    </cfRule>
  </conditionalFormatting>
  <conditionalFormatting sqref="B2:B8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60" t="s">
        <v>139</v>
      </c>
      <c r="B1" s="160" t="s">
        <v>10</v>
      </c>
      <c r="C1" s="160" t="s">
        <v>82</v>
      </c>
      <c r="D1" s="205" t="s">
        <v>130</v>
      </c>
      <c r="E1" s="160" t="s">
        <v>17</v>
      </c>
      <c r="F1" s="160" t="s">
        <v>82</v>
      </c>
      <c r="G1" s="205" t="s">
        <v>130</v>
      </c>
      <c r="H1" s="160" t="s">
        <v>25</v>
      </c>
      <c r="I1" s="160" t="s">
        <v>82</v>
      </c>
      <c r="J1" s="160" t="s">
        <v>130</v>
      </c>
      <c r="K1" s="206" t="s">
        <v>143</v>
      </c>
      <c r="L1" s="160" t="s">
        <v>82</v>
      </c>
      <c r="M1" s="160" t="s">
        <v>130</v>
      </c>
      <c r="N1" s="206" t="s">
        <v>144</v>
      </c>
      <c r="O1" s="160" t="s">
        <v>82</v>
      </c>
      <c r="P1" s="160" t="s">
        <v>130</v>
      </c>
      <c r="Q1" s="160" t="s">
        <v>44</v>
      </c>
      <c r="R1" s="207" t="s">
        <v>82</v>
      </c>
      <c r="S1" s="160" t="s">
        <v>130</v>
      </c>
      <c r="T1" s="160" t="s">
        <v>51</v>
      </c>
      <c r="U1" s="160" t="s">
        <v>82</v>
      </c>
      <c r="V1" s="160" t="s">
        <v>130</v>
      </c>
      <c r="W1" s="160" t="s">
        <v>52</v>
      </c>
      <c r="X1" s="160" t="s">
        <v>82</v>
      </c>
      <c r="Y1" s="160" t="s">
        <v>130</v>
      </c>
      <c r="Z1" s="208" t="s">
        <v>59</v>
      </c>
      <c r="AA1" s="160" t="s">
        <v>82</v>
      </c>
      <c r="AB1" s="160" t="s">
        <v>130</v>
      </c>
      <c r="AC1" s="160" t="s">
        <v>66</v>
      </c>
      <c r="AD1" s="160" t="s">
        <v>82</v>
      </c>
      <c r="AE1" s="160" t="s">
        <v>130</v>
      </c>
      <c r="AF1" s="160" t="s">
        <v>67</v>
      </c>
      <c r="AG1" s="160" t="s">
        <v>82</v>
      </c>
      <c r="AH1" s="160" t="s">
        <v>130</v>
      </c>
      <c r="AI1" s="160" t="s">
        <v>74</v>
      </c>
      <c r="AJ1" s="160" t="s">
        <v>82</v>
      </c>
      <c r="AK1" s="160" t="s">
        <v>130</v>
      </c>
      <c r="AL1" s="160" t="s">
        <v>145</v>
      </c>
      <c r="AM1" s="160" t="s">
        <v>82</v>
      </c>
      <c r="AN1" s="160" t="s">
        <v>130</v>
      </c>
      <c r="AO1" s="160" t="s">
        <v>146</v>
      </c>
      <c r="AP1" s="160" t="s">
        <v>147</v>
      </c>
      <c r="AQ1" s="209"/>
      <c r="AR1" s="209"/>
      <c r="AS1" s="209"/>
      <c r="AT1" s="209"/>
      <c r="AU1" s="209"/>
    </row>
    <row r="2">
      <c r="A2" s="210" t="s">
        <v>131</v>
      </c>
      <c r="B2" s="211">
        <f>100%+'Weekly Tables'!I3</f>
        <v>0.8053074535</v>
      </c>
      <c r="C2" s="212">
        <f t="shared" ref="C2:C6" si="1">IFS(B2="", "", B2&lt;90%,0, B2&lt;95%,1, B2&lt;=98%,2, B2&lt;=101%,3, B2&lt;=105%,4, TRUE,5)</f>
        <v>0</v>
      </c>
      <c r="D2" s="213">
        <f t="shared" ref="D2:D6" si="2">IF(C2="","",C2*5/100)</f>
        <v>0</v>
      </c>
      <c r="E2" s="214">
        <f>100%+'Weekly Tables'!F3</f>
        <v>0.754578293</v>
      </c>
      <c r="F2" s="215">
        <f t="shared" ref="F2:F6" si="3">IFS(E2="", "", E2&lt;90%,0, E2&lt;95%,1, E2&lt;=98%,2, E2&lt;=101%,3, E2&lt;=105%,4, TRUE,5)</f>
        <v>0</v>
      </c>
      <c r="G2" s="216">
        <f t="shared" ref="G2:G6" si="4">IF(F2="","",F2*5/100)</f>
        <v>0</v>
      </c>
      <c r="H2" s="217"/>
      <c r="I2" s="218" t="str">
        <f t="shared" ref="I2:I6" si="5">IFS(H2="", "", H2&lt;75,0, H2&lt;85,1, H2&lt;95,2, H2&lt;=100,3, H2&lt;=105,4, TRUE,5)</f>
        <v/>
      </c>
      <c r="J2" s="218" t="str">
        <f t="shared" ref="J2:J6" si="6">IF(I2="","",I2*15/100)</f>
        <v/>
      </c>
      <c r="K2" s="219">
        <f>'Weekly Tables'!L3*100</f>
        <v>-0.5</v>
      </c>
      <c r="L2" s="212">
        <f t="shared" ref="L2:L6" si="7">IFS(K2="", "", K2&gt;=3,0, K2&gt;=2,1, K2&gt;=1,2, K2&gt;=0,3, K2&lt;=-1,5, K2&lt;=-0.5,4, TRUE,3)</f>
        <v>4</v>
      </c>
      <c r="M2" s="220">
        <f t="shared" ref="M2:M6" si="8">IF(L2="","",L2*15/100)</f>
        <v>0.6</v>
      </c>
      <c r="N2" s="221">
        <f>'Weekly Tables'!O3*100</f>
        <v>4.7</v>
      </c>
      <c r="O2" s="215">
        <f t="shared" ref="O2:O6" si="9">IFS(N2="", "", N2&gt;=3,0, N2&gt;=2,1, N2&gt;=1,2, N2&gt;=0,3, N2&lt;=-1,5, N2&lt;=-0.5,4, TRUE,3)</f>
        <v>0</v>
      </c>
      <c r="P2" s="222">
        <f t="shared" ref="P2:P6" si="10">IF(O2="","",O2*15/100)</f>
        <v>0</v>
      </c>
      <c r="Q2" s="223">
        <f>'Weekly Tables'!M12</f>
        <v>4.33</v>
      </c>
      <c r="R2" s="212">
        <f t="shared" ref="R2:R6" si="11">IFS(Q2="", "", Q2="NA","" ,Q2&lt;3.8,0, Q2&lt;4,1, Q2&lt;4.3,2, Q2&lt;4.5,3, Q2&lt;4.7,4, TRUE,5)</f>
        <v>3</v>
      </c>
      <c r="S2" s="220">
        <f t="shared" ref="S2:S6" si="12">IF(R2="","",R2*21/100)</f>
        <v>0.63</v>
      </c>
      <c r="T2" s="224" t="str">
        <f>'Weekly Tables'!K12</f>
        <v>NA</v>
      </c>
      <c r="U2" s="215" t="str">
        <f t="shared" ref="U2:U6" si="13">IFS(T2="", "", T2="NA","" ,T2&lt;3.8,0, T2&lt;4,1, T2&lt;4.3,2, T2&lt;4.5,3, T2&lt;4.7,4, TRUE,5)</f>
        <v/>
      </c>
      <c r="V2" s="215" t="str">
        <f t="shared" ref="V2:V6" si="14">IF(U2="","",U2*7.5/100)</f>
        <v/>
      </c>
      <c r="W2" s="225">
        <f>'Weekly Tables'!N20</f>
        <v>0.0381</v>
      </c>
      <c r="X2" s="212">
        <f t="shared" ref="X2:X6" si="15">IFS(W2="", "", W2&gt;6%,0, W2&gt;4%,1, W2&gt;2%,2, W2&gt;1.5%,3, W2&gt;1%,4, TRUE,5)</f>
        <v>2</v>
      </c>
      <c r="Y2" s="220">
        <f t="shared" ref="Y2:Y6" si="16">IF(X2="","",X2*10/100)</f>
        <v>0.2</v>
      </c>
      <c r="Z2" s="226">
        <f t="array" ref="Z2">XLOOKUP(A2,'Weekly Tables'!$B$30:$B$34,'Weekly Tables'!$H$30:$H$34)</f>
        <v>2.48</v>
      </c>
      <c r="AA2" s="227">
        <f t="shared" ref="AA2:AA6" si="17">IFS(Z2="","", VALUE(Z2)&gt;8,0, VALUE(Z2)&gt;5,1, VALUE(Z2)&gt;2,2, VALUE(Z2)&gt;1.5,3, VALUE(Z2)&gt;1,4, TRUE,5)</f>
        <v>2</v>
      </c>
      <c r="AB2" s="227">
        <f t="shared" ref="AB2:AB6" si="18">IF(AA2="","",AA2*7.5/100)</f>
        <v>0.15</v>
      </c>
      <c r="AC2" s="228">
        <f>'Weekly Tables'!E20</f>
        <v>4.3</v>
      </c>
      <c r="AD2" s="212">
        <f t="shared" ref="AD2:AD6" si="19">IFS(AC2="", "", AC2&lt;3.8,0, AC2&lt;4,1, AC2&lt;4.3,2, AC2&lt;4.5,3, AC2&lt;4.7,4, TRUE,5)</f>
        <v>3</v>
      </c>
      <c r="AE2" s="212">
        <f t="shared" ref="AE2:AE6" si="20">IF(AD2="","",AD2*7.5/100)</f>
        <v>0.225</v>
      </c>
      <c r="AF2" s="229">
        <v>86.0</v>
      </c>
      <c r="AG2" s="227">
        <f t="shared" ref="AG2:AG6" si="21">IFS(AF2="", "", AF2&lt;70,0, AF2&lt;75,1, AF2&lt;83,2, AF2&lt;89,3, AF2&lt;94,4, TRUE,5)</f>
        <v>3</v>
      </c>
      <c r="AH2" s="227">
        <f t="shared" ref="AH2:AH6" si="22">IF(AG2="","",AG2*12.5/100)</f>
        <v>0.375</v>
      </c>
      <c r="AI2" s="230">
        <v>90.0</v>
      </c>
      <c r="AJ2" s="212">
        <f t="shared" ref="AJ2:AJ6" si="23">IFS(AI2="", "", AI2&lt;70,0, AI2&lt;75,1, AI2&lt;83,2, AI2&lt;89,3, AI2&lt;94,4, TRUE,5)</f>
        <v>4</v>
      </c>
      <c r="AK2" s="220">
        <f t="shared" ref="AK2:AK6" si="24">IF(AJ2="","",AJ2*6.25/100)</f>
        <v>0.25</v>
      </c>
      <c r="AL2" s="231">
        <v>95.0</v>
      </c>
      <c r="AM2" s="215">
        <f t="shared" ref="AM2:AM6" si="25">IFS(AL2="", "", AL2&lt;70,0, AL2&lt;75,1, AL2&lt;83,2, AL2&lt;89,3, AL2&lt;94,4, TRUE,5)</f>
        <v>5</v>
      </c>
      <c r="AN2" s="222">
        <f t="shared" ref="AN2:AN6" si="26">IF(AM2="","",AM2*6.25/100)</f>
        <v>0.3125</v>
      </c>
      <c r="AO2" s="232">
        <v>85.0</v>
      </c>
      <c r="AP2" s="233">
        <f t="shared" ref="AP2:AP6" si="27">SUM(D2,G2,J2,M2,P2,S2,V2,Y2,AB2,AE2,AH2,AK2,AN2)</f>
        <v>2.7425</v>
      </c>
      <c r="AQ2" s="209"/>
      <c r="AR2" s="234"/>
      <c r="AS2" s="209"/>
      <c r="AT2" s="235"/>
      <c r="AU2" s="235"/>
    </row>
    <row r="3">
      <c r="A3" s="236" t="s">
        <v>132</v>
      </c>
      <c r="B3" s="237">
        <f>100%+'Weekly Tables'!I4</f>
        <v>1.057140652</v>
      </c>
      <c r="C3" s="238">
        <f t="shared" si="1"/>
        <v>5</v>
      </c>
      <c r="D3" s="239">
        <f t="shared" si="2"/>
        <v>0.25</v>
      </c>
      <c r="E3" s="240">
        <f>100%+'Weekly Tables'!F4</f>
        <v>1.481524028</v>
      </c>
      <c r="F3" s="241">
        <f t="shared" si="3"/>
        <v>5</v>
      </c>
      <c r="G3" s="242">
        <f t="shared" si="4"/>
        <v>0.25</v>
      </c>
      <c r="H3" s="217"/>
      <c r="I3" s="218" t="str">
        <f t="shared" si="5"/>
        <v/>
      </c>
      <c r="J3" s="218" t="str">
        <f t="shared" si="6"/>
        <v/>
      </c>
      <c r="K3" s="243">
        <f>'Weekly Tables'!L4*100</f>
        <v>-5.9</v>
      </c>
      <c r="L3" s="238">
        <f t="shared" si="7"/>
        <v>5</v>
      </c>
      <c r="M3" s="220">
        <f t="shared" si="8"/>
        <v>0.75</v>
      </c>
      <c r="N3" s="244">
        <f>'Weekly Tables'!O4*100</f>
        <v>1.6</v>
      </c>
      <c r="O3" s="241">
        <f t="shared" si="9"/>
        <v>2</v>
      </c>
      <c r="P3" s="222">
        <f t="shared" si="10"/>
        <v>0.3</v>
      </c>
      <c r="Q3" s="245">
        <f>'Weekly Tables'!M15</f>
        <v>2</v>
      </c>
      <c r="R3" s="238">
        <f t="shared" si="11"/>
        <v>0</v>
      </c>
      <c r="S3" s="220">
        <f t="shared" si="12"/>
        <v>0</v>
      </c>
      <c r="T3" s="246" t="str">
        <f>'Weekly Tables'!K15</f>
        <v>NA</v>
      </c>
      <c r="U3" s="241" t="str">
        <f t="shared" si="13"/>
        <v/>
      </c>
      <c r="V3" s="241" t="str">
        <f t="shared" si="14"/>
        <v/>
      </c>
      <c r="W3" s="247">
        <f>'Weekly Tables'!N23</f>
        <v>0.0074</v>
      </c>
      <c r="X3" s="238">
        <f t="shared" si="15"/>
        <v>5</v>
      </c>
      <c r="Y3" s="248">
        <f t="shared" si="16"/>
        <v>0.5</v>
      </c>
      <c r="Z3" s="249">
        <f t="array" ref="Z3">XLOOKUP(A3,'Weekly Tables'!$B$30:$B$34,'Weekly Tables'!$H$30:$H$34)</f>
        <v>2.02</v>
      </c>
      <c r="AA3" s="218">
        <f t="shared" si="17"/>
        <v>2</v>
      </c>
      <c r="AB3" s="218">
        <f t="shared" si="18"/>
        <v>0.15</v>
      </c>
      <c r="AC3" s="250">
        <f>'Weekly Tables'!E23</f>
        <v>4.3</v>
      </c>
      <c r="AD3" s="238">
        <f t="shared" si="19"/>
        <v>3</v>
      </c>
      <c r="AE3" s="238">
        <f t="shared" si="20"/>
        <v>0.225</v>
      </c>
      <c r="AF3" s="251">
        <v>67.0</v>
      </c>
      <c r="AG3" s="218">
        <f t="shared" si="21"/>
        <v>0</v>
      </c>
      <c r="AH3" s="218">
        <f t="shared" si="22"/>
        <v>0</v>
      </c>
      <c r="AI3" s="252">
        <v>70.0</v>
      </c>
      <c r="AJ3" s="238">
        <f t="shared" si="23"/>
        <v>1</v>
      </c>
      <c r="AK3" s="248">
        <f t="shared" si="24"/>
        <v>0.0625</v>
      </c>
      <c r="AL3" s="253">
        <v>76.0</v>
      </c>
      <c r="AM3" s="241">
        <f t="shared" si="25"/>
        <v>2</v>
      </c>
      <c r="AN3" s="254">
        <f t="shared" si="26"/>
        <v>0.125</v>
      </c>
      <c r="AO3" s="255">
        <v>87.0</v>
      </c>
      <c r="AP3" s="233">
        <f t="shared" si="27"/>
        <v>2.6125</v>
      </c>
      <c r="AQ3" s="209"/>
      <c r="AR3" s="234"/>
      <c r="AS3" s="209"/>
      <c r="AT3" s="235"/>
      <c r="AU3" s="235"/>
    </row>
    <row r="4">
      <c r="A4" s="236" t="s">
        <v>133</v>
      </c>
      <c r="B4" s="237">
        <f>100%+'Weekly Tables'!I5</f>
        <v>0.7913728096</v>
      </c>
      <c r="C4" s="238">
        <f t="shared" si="1"/>
        <v>0</v>
      </c>
      <c r="D4" s="239">
        <f t="shared" si="2"/>
        <v>0</v>
      </c>
      <c r="E4" s="240">
        <f>100%+'Weekly Tables'!F5</f>
        <v>1.196082061</v>
      </c>
      <c r="F4" s="241">
        <f t="shared" si="3"/>
        <v>5</v>
      </c>
      <c r="G4" s="242">
        <f t="shared" si="4"/>
        <v>0.25</v>
      </c>
      <c r="H4" s="217"/>
      <c r="I4" s="218" t="str">
        <f t="shared" si="5"/>
        <v/>
      </c>
      <c r="J4" s="218" t="str">
        <f t="shared" si="6"/>
        <v/>
      </c>
      <c r="K4" s="243">
        <f>'Weekly Tables'!L5*100</f>
        <v>0</v>
      </c>
      <c r="L4" s="238">
        <f t="shared" si="7"/>
        <v>3</v>
      </c>
      <c r="M4" s="220">
        <f t="shared" si="8"/>
        <v>0.45</v>
      </c>
      <c r="N4" s="244">
        <f>'Weekly Tables'!O5*100</f>
        <v>1.3</v>
      </c>
      <c r="O4" s="241">
        <f t="shared" si="9"/>
        <v>2</v>
      </c>
      <c r="P4" s="222">
        <f t="shared" si="10"/>
        <v>0.3</v>
      </c>
      <c r="Q4" s="245">
        <f>'Weekly Tables'!M13</f>
        <v>1</v>
      </c>
      <c r="R4" s="238">
        <f t="shared" si="11"/>
        <v>0</v>
      </c>
      <c r="S4" s="220">
        <f t="shared" si="12"/>
        <v>0</v>
      </c>
      <c r="T4" s="246">
        <f>'Weekly Tables'!K13</f>
        <v>3</v>
      </c>
      <c r="U4" s="241">
        <f t="shared" si="13"/>
        <v>0</v>
      </c>
      <c r="V4" s="241">
        <f t="shared" si="14"/>
        <v>0</v>
      </c>
      <c r="W4" s="247">
        <f>'Weekly Tables'!N21</f>
        <v>0.0292</v>
      </c>
      <c r="X4" s="238">
        <f t="shared" si="15"/>
        <v>2</v>
      </c>
      <c r="Y4" s="248">
        <f t="shared" si="16"/>
        <v>0.2</v>
      </c>
      <c r="Z4" s="249">
        <f t="array" ref="Z4">XLOOKUP(A4,'Weekly Tables'!$B$30:$B$34,'Weekly Tables'!$H$30:$H$34)</f>
        <v>1.2</v>
      </c>
      <c r="AA4" s="218">
        <f t="shared" si="17"/>
        <v>4</v>
      </c>
      <c r="AB4" s="218">
        <f t="shared" si="18"/>
        <v>0.3</v>
      </c>
      <c r="AC4" s="250">
        <f>'Weekly Tables'!E21</f>
        <v>4.6</v>
      </c>
      <c r="AD4" s="238">
        <f t="shared" si="19"/>
        <v>4</v>
      </c>
      <c r="AE4" s="238">
        <f t="shared" si="20"/>
        <v>0.3</v>
      </c>
      <c r="AF4" s="251">
        <v>72.0</v>
      </c>
      <c r="AG4" s="218">
        <f t="shared" si="21"/>
        <v>1</v>
      </c>
      <c r="AH4" s="218">
        <f t="shared" si="22"/>
        <v>0.125</v>
      </c>
      <c r="AI4" s="252">
        <v>76.0</v>
      </c>
      <c r="AJ4" s="238">
        <f t="shared" si="23"/>
        <v>2</v>
      </c>
      <c r="AK4" s="248">
        <f t="shared" si="24"/>
        <v>0.125</v>
      </c>
      <c r="AL4" s="253">
        <v>78.0</v>
      </c>
      <c r="AM4" s="241">
        <f t="shared" si="25"/>
        <v>2</v>
      </c>
      <c r="AN4" s="254">
        <f t="shared" si="26"/>
        <v>0.125</v>
      </c>
      <c r="AO4" s="255">
        <v>93.0</v>
      </c>
      <c r="AP4" s="233">
        <f t="shared" si="27"/>
        <v>2.175</v>
      </c>
      <c r="AQ4" s="209"/>
      <c r="AR4" s="234"/>
      <c r="AS4" s="209"/>
      <c r="AT4" s="235"/>
      <c r="AU4" s="235"/>
    </row>
    <row r="5">
      <c r="A5" s="236" t="s">
        <v>134</v>
      </c>
      <c r="B5" s="237">
        <f>100%+'Weekly Tables'!I6</f>
        <v>0.8703104349</v>
      </c>
      <c r="C5" s="238">
        <f t="shared" si="1"/>
        <v>0</v>
      </c>
      <c r="D5" s="239">
        <f t="shared" si="2"/>
        <v>0</v>
      </c>
      <c r="E5" s="240">
        <f>100%+'Weekly Tables'!F6</f>
        <v>1.021909008</v>
      </c>
      <c r="F5" s="241">
        <f t="shared" si="3"/>
        <v>4</v>
      </c>
      <c r="G5" s="242">
        <f t="shared" si="4"/>
        <v>0.2</v>
      </c>
      <c r="H5" s="217"/>
      <c r="I5" s="218" t="str">
        <f t="shared" si="5"/>
        <v/>
      </c>
      <c r="J5" s="218" t="str">
        <f t="shared" si="6"/>
        <v/>
      </c>
      <c r="K5" s="243">
        <f>'Weekly Tables'!L6*100</f>
        <v>3.2</v>
      </c>
      <c r="L5" s="238">
        <f t="shared" si="7"/>
        <v>0</v>
      </c>
      <c r="M5" s="220">
        <f t="shared" si="8"/>
        <v>0</v>
      </c>
      <c r="N5" s="244">
        <f>'Weekly Tables'!O6*100</f>
        <v>2.7</v>
      </c>
      <c r="O5" s="241">
        <f t="shared" si="9"/>
        <v>1</v>
      </c>
      <c r="P5" s="222">
        <f t="shared" si="10"/>
        <v>0.15</v>
      </c>
      <c r="Q5" s="245">
        <f>'Weekly Tables'!M14</f>
        <v>3</v>
      </c>
      <c r="R5" s="238">
        <f t="shared" si="11"/>
        <v>0</v>
      </c>
      <c r="S5" s="220">
        <f t="shared" si="12"/>
        <v>0</v>
      </c>
      <c r="T5" s="246" t="str">
        <f>'Weekly Tables'!K14</f>
        <v>NA</v>
      </c>
      <c r="U5" s="241" t="str">
        <f t="shared" si="13"/>
        <v/>
      </c>
      <c r="V5" s="241" t="str">
        <f t="shared" si="14"/>
        <v/>
      </c>
      <c r="W5" s="247">
        <f>'Weekly Tables'!N22</f>
        <v>0.0222</v>
      </c>
      <c r="X5" s="238">
        <f t="shared" si="15"/>
        <v>2</v>
      </c>
      <c r="Y5" s="248">
        <f t="shared" si="16"/>
        <v>0.2</v>
      </c>
      <c r="Z5" s="249">
        <f t="array" ref="Z5">XLOOKUP(A5,'Weekly Tables'!$B$30:$B$34,'Weekly Tables'!$H$30:$H$34)</f>
        <v>1.17</v>
      </c>
      <c r="AA5" s="218">
        <f t="shared" si="17"/>
        <v>4</v>
      </c>
      <c r="AB5" s="218">
        <f t="shared" si="18"/>
        <v>0.3</v>
      </c>
      <c r="AC5" s="250">
        <f>'Weekly Tables'!E22</f>
        <v>4.5</v>
      </c>
      <c r="AD5" s="238">
        <f t="shared" si="19"/>
        <v>4</v>
      </c>
      <c r="AE5" s="238">
        <f t="shared" si="20"/>
        <v>0.3</v>
      </c>
      <c r="AF5" s="251">
        <v>70.0</v>
      </c>
      <c r="AG5" s="218">
        <f t="shared" si="21"/>
        <v>1</v>
      </c>
      <c r="AH5" s="218">
        <f t="shared" si="22"/>
        <v>0.125</v>
      </c>
      <c r="AI5" s="252">
        <v>75.0</v>
      </c>
      <c r="AJ5" s="238">
        <f t="shared" si="23"/>
        <v>2</v>
      </c>
      <c r="AK5" s="248">
        <f t="shared" si="24"/>
        <v>0.125</v>
      </c>
      <c r="AL5" s="253">
        <v>71.0</v>
      </c>
      <c r="AM5" s="241">
        <f t="shared" si="25"/>
        <v>1</v>
      </c>
      <c r="AN5" s="254">
        <f t="shared" si="26"/>
        <v>0.0625</v>
      </c>
      <c r="AO5" s="255">
        <v>80.0</v>
      </c>
      <c r="AP5" s="233">
        <f t="shared" si="27"/>
        <v>1.4625</v>
      </c>
      <c r="AQ5" s="209"/>
      <c r="AR5" s="234"/>
      <c r="AS5" s="209"/>
      <c r="AT5" s="235"/>
      <c r="AU5" s="235"/>
    </row>
    <row r="6">
      <c r="A6" s="210" t="s">
        <v>135</v>
      </c>
      <c r="B6" s="256">
        <f>100%+'Weekly Tables'!I7</f>
        <v>0.7840265131</v>
      </c>
      <c r="C6" s="257">
        <f t="shared" si="1"/>
        <v>0</v>
      </c>
      <c r="D6" s="258">
        <f t="shared" si="2"/>
        <v>0</v>
      </c>
      <c r="E6" s="259">
        <f>100%+'Weekly Tables'!F7</f>
        <v>1.084955287</v>
      </c>
      <c r="F6" s="260">
        <f t="shared" si="3"/>
        <v>5</v>
      </c>
      <c r="G6" s="261">
        <f t="shared" si="4"/>
        <v>0.25</v>
      </c>
      <c r="H6" s="217"/>
      <c r="I6" s="218" t="str">
        <f t="shared" si="5"/>
        <v/>
      </c>
      <c r="J6" s="218" t="str">
        <f t="shared" si="6"/>
        <v/>
      </c>
      <c r="K6" s="262">
        <f>'Weekly Tables'!L7*100</f>
        <v>4.5</v>
      </c>
      <c r="L6" s="257">
        <f t="shared" si="7"/>
        <v>0</v>
      </c>
      <c r="M6" s="220">
        <f t="shared" si="8"/>
        <v>0</v>
      </c>
      <c r="N6" s="263">
        <f>'Weekly Tables'!O7*100</f>
        <v>2</v>
      </c>
      <c r="O6" s="260">
        <f t="shared" si="9"/>
        <v>1</v>
      </c>
      <c r="P6" s="222">
        <f t="shared" si="10"/>
        <v>0.15</v>
      </c>
      <c r="Q6" s="264">
        <f>'Weekly Tables'!M16</f>
        <v>5</v>
      </c>
      <c r="R6" s="257">
        <f t="shared" si="11"/>
        <v>5</v>
      </c>
      <c r="S6" s="220">
        <f t="shared" si="12"/>
        <v>1.05</v>
      </c>
      <c r="T6" s="265" t="str">
        <f>'Weekly Tables'!K16</f>
        <v>NA</v>
      </c>
      <c r="U6" s="260" t="str">
        <f t="shared" si="13"/>
        <v/>
      </c>
      <c r="V6" s="260" t="str">
        <f t="shared" si="14"/>
        <v/>
      </c>
      <c r="W6" s="266">
        <f>'Weekly Tables'!N24</f>
        <v>0.027</v>
      </c>
      <c r="X6" s="257">
        <f t="shared" si="15"/>
        <v>2</v>
      </c>
      <c r="Y6" s="267">
        <f t="shared" si="16"/>
        <v>0.2</v>
      </c>
      <c r="Z6" s="268">
        <f t="array" ref="Z6">XLOOKUP(A6,'Weekly Tables'!$B$30:$B$34,'Weekly Tables'!$H$30:$H$34)</f>
        <v>1.65</v>
      </c>
      <c r="AA6" s="269">
        <f t="shared" si="17"/>
        <v>3</v>
      </c>
      <c r="AB6" s="269">
        <f t="shared" si="18"/>
        <v>0.225</v>
      </c>
      <c r="AC6" s="270">
        <f>'Weekly Tables'!E24</f>
        <v>4</v>
      </c>
      <c r="AD6" s="257">
        <f t="shared" si="19"/>
        <v>2</v>
      </c>
      <c r="AE6" s="257">
        <f t="shared" si="20"/>
        <v>0.15</v>
      </c>
      <c r="AF6" s="271">
        <v>56.0</v>
      </c>
      <c r="AG6" s="269">
        <f t="shared" si="21"/>
        <v>0</v>
      </c>
      <c r="AH6" s="269">
        <f t="shared" si="22"/>
        <v>0</v>
      </c>
      <c r="AI6" s="272">
        <v>60.0</v>
      </c>
      <c r="AJ6" s="257">
        <f t="shared" si="23"/>
        <v>0</v>
      </c>
      <c r="AK6" s="267">
        <f t="shared" si="24"/>
        <v>0</v>
      </c>
      <c r="AL6" s="273">
        <v>60.0</v>
      </c>
      <c r="AM6" s="260">
        <f t="shared" si="25"/>
        <v>0</v>
      </c>
      <c r="AN6" s="274">
        <f t="shared" si="26"/>
        <v>0</v>
      </c>
      <c r="AO6" s="275">
        <v>78.0</v>
      </c>
      <c r="AP6" s="233">
        <f t="shared" si="27"/>
        <v>2.025</v>
      </c>
      <c r="AQ6" s="209"/>
      <c r="AR6" s="234"/>
      <c r="AS6" s="209"/>
      <c r="AT6" s="235"/>
      <c r="AU6" s="235"/>
    </row>
    <row r="7">
      <c r="D7" s="158"/>
      <c r="G7" s="158"/>
      <c r="K7" s="276"/>
      <c r="N7" s="276"/>
      <c r="T7" s="277"/>
      <c r="Z7" s="278"/>
    </row>
    <row r="8">
      <c r="B8" s="279"/>
      <c r="C8" s="280">
        <f t="shared" ref="C8:C12" si="28">IF(B2="","",ROUND(IF(B2&gt;=105%,5,IF(B2&gt;=102%,4+(B2-102%)/(105%-102%),IF(B2&gt;=99%,3+(B2-99%)/(102%-99%),IF(B2&gt;=95%,2+(B2-95%)/(99%-95%),IF(B2&gt;=90%,1+(B2-90%)/(95%-90%),0))))),1))</f>
        <v>0</v>
      </c>
      <c r="D8" s="158"/>
      <c r="F8" s="280">
        <f t="shared" ref="F8:F12" si="29">IF(E2="","",ROUND(IF(E2&gt;=105%,5,IF(E2&gt;=102%,4+(E2-102%)/(105%-102%),IF(E2&gt;=99%,3+(E2-99%)/(102%-99%),IF(E2&gt;=95%,2+(E2-95%)/(99%-95%),IF(E2&gt;=90%,1+(E2-90%)/(95%-90%),0))))),1))</f>
        <v>0</v>
      </c>
      <c r="G8" s="158"/>
      <c r="K8" s="276"/>
      <c r="N8" s="276"/>
      <c r="T8" s="277"/>
      <c r="Z8" s="278"/>
    </row>
    <row r="9">
      <c r="C9" s="280">
        <f t="shared" si="28"/>
        <v>5</v>
      </c>
      <c r="D9" s="158"/>
      <c r="F9" s="280">
        <f t="shared" si="29"/>
        <v>5</v>
      </c>
      <c r="G9" s="158"/>
      <c r="K9" s="276"/>
      <c r="N9" s="276"/>
      <c r="T9" s="277"/>
      <c r="Z9" s="278"/>
    </row>
    <row r="10">
      <c r="C10" s="280">
        <f t="shared" si="28"/>
        <v>0</v>
      </c>
      <c r="D10" s="158"/>
      <c r="F10" s="280">
        <f t="shared" si="29"/>
        <v>5</v>
      </c>
      <c r="G10" s="158"/>
      <c r="K10" s="276"/>
      <c r="N10" s="276"/>
      <c r="T10" s="277"/>
      <c r="Z10" s="278"/>
    </row>
    <row r="11">
      <c r="C11" s="280">
        <f t="shared" si="28"/>
        <v>0</v>
      </c>
      <c r="D11" s="158"/>
      <c r="F11" s="280">
        <f t="shared" si="29"/>
        <v>4.1</v>
      </c>
      <c r="G11" s="158"/>
      <c r="K11" s="276"/>
      <c r="N11" s="276"/>
      <c r="T11" s="277"/>
      <c r="Z11" s="278"/>
    </row>
    <row r="12">
      <c r="C12" s="280">
        <f t="shared" si="28"/>
        <v>0</v>
      </c>
      <c r="D12" s="158"/>
      <c r="F12" s="280">
        <f t="shared" si="29"/>
        <v>5</v>
      </c>
      <c r="G12" s="158"/>
      <c r="K12" s="276"/>
      <c r="N12" s="276"/>
      <c r="T12" s="277"/>
      <c r="Z12" s="278"/>
    </row>
    <row r="13">
      <c r="D13" s="158"/>
      <c r="G13" s="158"/>
      <c r="K13" s="276"/>
      <c r="N13" s="276"/>
      <c r="T13" s="277"/>
      <c r="Z13" s="278"/>
    </row>
    <row r="14">
      <c r="B14" s="281"/>
      <c r="C14" s="281"/>
      <c r="D14" s="281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</row>
    <row r="15">
      <c r="A15" s="281"/>
      <c r="B15" s="281"/>
      <c r="C15" s="281"/>
      <c r="D15" s="281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</row>
    <row r="16">
      <c r="B16" s="281"/>
      <c r="C16" s="158"/>
      <c r="D16" s="281"/>
      <c r="E16" s="281"/>
      <c r="F16" s="158"/>
      <c r="G16" s="281"/>
      <c r="H16" s="281"/>
      <c r="I16" s="281"/>
      <c r="J16" s="276"/>
      <c r="K16" s="281"/>
      <c r="L16" s="281"/>
      <c r="M16" s="276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78"/>
      <c r="Z16" s="281"/>
      <c r="AA16" s="281"/>
      <c r="AB16" s="281"/>
      <c r="AC16" s="281"/>
      <c r="AD16" s="281"/>
      <c r="AE16" s="281"/>
    </row>
    <row r="17">
      <c r="A17" s="281"/>
      <c r="C17" s="158"/>
      <c r="F17" s="158"/>
      <c r="J17" s="276"/>
      <c r="M17" s="276"/>
      <c r="Y17" s="278"/>
      <c r="AE17" s="281"/>
      <c r="AF17" s="281"/>
    </row>
    <row r="18">
      <c r="A18" s="281"/>
      <c r="C18" s="158"/>
      <c r="F18" s="158"/>
      <c r="J18" s="276"/>
      <c r="M18" s="276"/>
      <c r="Y18" s="278"/>
      <c r="AE18" s="281"/>
      <c r="AF18" s="281"/>
    </row>
    <row r="19">
      <c r="A19" s="281"/>
      <c r="C19" s="158"/>
      <c r="F19" s="158"/>
      <c r="J19" s="276"/>
      <c r="M19" s="276"/>
      <c r="Y19" s="278"/>
      <c r="AE19" s="281"/>
      <c r="AF19" s="281"/>
    </row>
    <row r="20">
      <c r="A20" s="281"/>
      <c r="C20" s="158"/>
      <c r="F20" s="158"/>
      <c r="J20" s="276"/>
      <c r="M20" s="276"/>
      <c r="Y20" s="278"/>
      <c r="AE20" s="281"/>
      <c r="AF20" s="281"/>
    </row>
    <row r="21" ht="15.75" customHeight="1">
      <c r="A21" s="281"/>
      <c r="C21" s="158"/>
      <c r="F21" s="158"/>
      <c r="J21" s="276"/>
      <c r="M21" s="276"/>
      <c r="Y21" s="278"/>
      <c r="AE21" s="281"/>
      <c r="AF21" s="281"/>
    </row>
    <row r="22" ht="15.75" customHeight="1">
      <c r="A22" s="281"/>
      <c r="C22" s="234"/>
      <c r="F22" s="234"/>
      <c r="I22" s="234"/>
      <c r="J22" s="276"/>
      <c r="L22" s="234"/>
      <c r="M22" s="276"/>
      <c r="O22" s="234"/>
      <c r="R22" s="234"/>
      <c r="U22" s="234"/>
      <c r="X22" s="234"/>
      <c r="Y22" s="278"/>
      <c r="AA22" s="234"/>
      <c r="AD22" s="281"/>
      <c r="AF22" s="234"/>
    </row>
    <row r="23" ht="15.75" customHeight="1">
      <c r="B23" s="282"/>
      <c r="C23" s="282"/>
      <c r="D23" s="283"/>
      <c r="E23" s="282"/>
      <c r="F23" s="282"/>
      <c r="G23" s="283"/>
      <c r="H23" s="282"/>
      <c r="I23" s="282"/>
      <c r="J23" s="282"/>
      <c r="K23" s="284"/>
      <c r="L23" s="282"/>
      <c r="M23" s="282"/>
      <c r="N23" s="284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5"/>
      <c r="AA23" s="282"/>
      <c r="AB23" s="282"/>
      <c r="AC23" s="282"/>
      <c r="AD23" s="282"/>
      <c r="AE23" s="282"/>
      <c r="AF23" s="282"/>
      <c r="AG23" s="282"/>
    </row>
    <row r="24" ht="15.75" customHeight="1">
      <c r="D24" s="158"/>
      <c r="G24" s="158"/>
      <c r="K24" s="276"/>
      <c r="N24" s="276"/>
      <c r="T24" s="277"/>
      <c r="Z24" s="278"/>
    </row>
    <row r="25" ht="15.75" customHeight="1">
      <c r="D25" s="158"/>
      <c r="G25" s="158"/>
      <c r="K25" s="276"/>
      <c r="N25" s="276"/>
      <c r="T25" s="277"/>
      <c r="Z25" s="278"/>
    </row>
    <row r="26" ht="15.75" customHeight="1">
      <c r="D26" s="158"/>
      <c r="G26" s="158"/>
      <c r="K26" s="276"/>
      <c r="N26" s="276"/>
      <c r="T26" s="277"/>
      <c r="Z26" s="278"/>
    </row>
    <row r="27" ht="15.75" customHeight="1">
      <c r="D27" s="158"/>
      <c r="G27" s="158"/>
      <c r="K27" s="276"/>
      <c r="N27" s="276"/>
      <c r="T27" s="277"/>
      <c r="Z27" s="278"/>
    </row>
    <row r="28" ht="15.75" customHeight="1">
      <c r="D28" s="158"/>
      <c r="G28" s="158"/>
      <c r="K28" s="276"/>
      <c r="N28" s="276"/>
      <c r="T28" s="277"/>
      <c r="Z28" s="278"/>
    </row>
    <row r="29" ht="15.75" customHeight="1">
      <c r="D29" s="158"/>
      <c r="G29" s="158"/>
      <c r="K29" s="276"/>
      <c r="N29" s="276"/>
      <c r="T29" s="277"/>
      <c r="Z29" s="278"/>
    </row>
    <row r="30" ht="15.75" customHeight="1">
      <c r="D30" s="158"/>
      <c r="G30" s="158"/>
      <c r="K30" s="276"/>
      <c r="N30" s="276"/>
      <c r="T30" s="277"/>
      <c r="Z30" s="278"/>
    </row>
    <row r="31" ht="15.75" customHeight="1">
      <c r="D31" s="158"/>
      <c r="G31" s="158"/>
      <c r="K31" s="276"/>
      <c r="N31" s="276"/>
      <c r="T31" s="277"/>
      <c r="Z31" s="278"/>
    </row>
    <row r="32" ht="15.75" customHeight="1">
      <c r="D32" s="158"/>
      <c r="G32" s="158"/>
      <c r="K32" s="276"/>
      <c r="N32" s="276"/>
      <c r="T32" s="277"/>
      <c r="Z32" s="278"/>
    </row>
    <row r="33" ht="15.75" customHeight="1">
      <c r="D33" s="158"/>
      <c r="G33" s="158"/>
      <c r="K33" s="276"/>
      <c r="N33" s="276"/>
      <c r="T33" s="277"/>
      <c r="Z33" s="278"/>
    </row>
    <row r="34" ht="15.75" customHeight="1">
      <c r="D34" s="158"/>
      <c r="G34" s="158"/>
      <c r="K34" s="276"/>
      <c r="N34" s="276"/>
      <c r="T34" s="277"/>
      <c r="Z34" s="278"/>
    </row>
    <row r="35" ht="15.75" customHeight="1">
      <c r="D35" s="158"/>
      <c r="G35" s="158"/>
      <c r="K35" s="276"/>
      <c r="N35" s="276"/>
      <c r="T35" s="277"/>
      <c r="Z35" s="278"/>
    </row>
    <row r="36" ht="15.75" customHeight="1">
      <c r="D36" s="158"/>
      <c r="G36" s="158"/>
      <c r="K36" s="276"/>
      <c r="N36" s="276"/>
      <c r="T36" s="277"/>
      <c r="Z36" s="278"/>
    </row>
    <row r="37" ht="15.75" customHeight="1">
      <c r="D37" s="158"/>
      <c r="G37" s="158"/>
      <c r="K37" s="276"/>
      <c r="N37" s="276"/>
      <c r="T37" s="277"/>
      <c r="Z37" s="278"/>
    </row>
    <row r="38" ht="15.75" customHeight="1">
      <c r="D38" s="158"/>
      <c r="G38" s="158"/>
      <c r="K38" s="276"/>
      <c r="N38" s="276"/>
      <c r="T38" s="277"/>
      <c r="Z38" s="278"/>
    </row>
    <row r="39" ht="15.75" customHeight="1">
      <c r="D39" s="158"/>
      <c r="G39" s="158"/>
      <c r="K39" s="276"/>
      <c r="N39" s="276"/>
      <c r="T39" s="277"/>
      <c r="Z39" s="278"/>
    </row>
    <row r="40" ht="15.75" customHeight="1">
      <c r="D40" s="158"/>
      <c r="G40" s="158"/>
      <c r="K40" s="276"/>
      <c r="N40" s="276"/>
      <c r="T40" s="277"/>
      <c r="Z40" s="278"/>
    </row>
    <row r="41" ht="15.75" customHeight="1">
      <c r="D41" s="158"/>
      <c r="G41" s="158"/>
      <c r="K41" s="276"/>
      <c r="N41" s="276"/>
      <c r="T41" s="277"/>
      <c r="Z41" s="278"/>
    </row>
    <row r="42" ht="15.75" customHeight="1">
      <c r="D42" s="158"/>
      <c r="G42" s="158"/>
      <c r="K42" s="276"/>
      <c r="N42" s="276"/>
      <c r="T42" s="277"/>
      <c r="Z42" s="278"/>
    </row>
    <row r="43" ht="15.75" customHeight="1">
      <c r="D43" s="158"/>
      <c r="G43" s="158"/>
      <c r="K43" s="276"/>
      <c r="N43" s="276"/>
      <c r="T43" s="277"/>
      <c r="Z43" s="278"/>
    </row>
    <row r="44" ht="15.75" customHeight="1">
      <c r="D44" s="158"/>
      <c r="G44" s="158"/>
      <c r="K44" s="276"/>
      <c r="N44" s="276"/>
      <c r="T44" s="277"/>
      <c r="Z44" s="278"/>
    </row>
    <row r="45" ht="15.75" customHeight="1">
      <c r="D45" s="158"/>
      <c r="G45" s="158"/>
      <c r="K45" s="276"/>
      <c r="N45" s="276"/>
      <c r="T45" s="277"/>
      <c r="Z45" s="278"/>
    </row>
    <row r="46" ht="15.75" customHeight="1">
      <c r="D46" s="158"/>
      <c r="G46" s="158"/>
      <c r="K46" s="276"/>
      <c r="N46" s="276"/>
      <c r="T46" s="277"/>
      <c r="Z46" s="278"/>
    </row>
    <row r="47" ht="15.75" customHeight="1">
      <c r="D47" s="158"/>
      <c r="G47" s="158"/>
      <c r="K47" s="276"/>
      <c r="N47" s="276"/>
      <c r="T47" s="277"/>
      <c r="Z47" s="278"/>
    </row>
    <row r="48" ht="15.75" customHeight="1">
      <c r="D48" s="158"/>
      <c r="G48" s="158"/>
      <c r="K48" s="276"/>
      <c r="N48" s="276"/>
      <c r="T48" s="277"/>
      <c r="Z48" s="278"/>
    </row>
    <row r="49" ht="15.75" customHeight="1">
      <c r="D49" s="158"/>
      <c r="G49" s="158"/>
      <c r="K49" s="276"/>
      <c r="N49" s="276"/>
      <c r="T49" s="277"/>
      <c r="Z49" s="278"/>
    </row>
    <row r="50" ht="15.75" customHeight="1">
      <c r="D50" s="158"/>
      <c r="G50" s="158"/>
      <c r="K50" s="276"/>
      <c r="N50" s="276"/>
      <c r="T50" s="277"/>
      <c r="Z50" s="278"/>
    </row>
    <row r="51" ht="15.75" customHeight="1">
      <c r="D51" s="158"/>
      <c r="G51" s="158"/>
      <c r="K51" s="276"/>
      <c r="N51" s="276"/>
      <c r="T51" s="277"/>
      <c r="Z51" s="278"/>
    </row>
    <row r="52" ht="15.75" customHeight="1">
      <c r="D52" s="158"/>
      <c r="G52" s="158"/>
      <c r="K52" s="276"/>
      <c r="N52" s="276"/>
      <c r="T52" s="277"/>
      <c r="Z52" s="278"/>
    </row>
    <row r="53" ht="15.75" customHeight="1">
      <c r="D53" s="158"/>
      <c r="G53" s="158"/>
      <c r="K53" s="276"/>
      <c r="N53" s="276"/>
      <c r="T53" s="277"/>
      <c r="Z53" s="278"/>
    </row>
    <row r="54" ht="15.75" customHeight="1">
      <c r="D54" s="158"/>
      <c r="G54" s="158"/>
      <c r="K54" s="276"/>
      <c r="N54" s="276"/>
      <c r="T54" s="277"/>
      <c r="Z54" s="278"/>
    </row>
    <row r="55" ht="15.75" customHeight="1">
      <c r="D55" s="158"/>
      <c r="G55" s="158"/>
      <c r="K55" s="276"/>
      <c r="N55" s="276"/>
      <c r="T55" s="277"/>
      <c r="Z55" s="278"/>
    </row>
    <row r="56" ht="15.75" customHeight="1">
      <c r="D56" s="158"/>
      <c r="G56" s="158"/>
      <c r="K56" s="276"/>
      <c r="N56" s="276"/>
      <c r="T56" s="277"/>
      <c r="Z56" s="278"/>
    </row>
    <row r="57" ht="15.75" customHeight="1">
      <c r="D57" s="158"/>
      <c r="G57" s="158"/>
      <c r="K57" s="276"/>
      <c r="N57" s="276"/>
      <c r="T57" s="277"/>
      <c r="Z57" s="278"/>
    </row>
    <row r="58" ht="15.75" customHeight="1">
      <c r="D58" s="158"/>
      <c r="G58" s="158"/>
      <c r="K58" s="276"/>
      <c r="N58" s="276"/>
      <c r="T58" s="277"/>
      <c r="Z58" s="278"/>
    </row>
    <row r="59" ht="15.75" customHeight="1">
      <c r="D59" s="158"/>
      <c r="G59" s="158"/>
      <c r="K59" s="276"/>
      <c r="N59" s="276"/>
      <c r="T59" s="277"/>
      <c r="Z59" s="278"/>
    </row>
    <row r="60" ht="15.75" customHeight="1">
      <c r="D60" s="158"/>
      <c r="G60" s="158"/>
      <c r="K60" s="276"/>
      <c r="N60" s="276"/>
      <c r="T60" s="277"/>
      <c r="Z60" s="278"/>
    </row>
    <row r="61" ht="15.75" customHeight="1">
      <c r="D61" s="158"/>
      <c r="G61" s="158"/>
      <c r="K61" s="276"/>
      <c r="N61" s="276"/>
      <c r="T61" s="277"/>
      <c r="Z61" s="278"/>
    </row>
    <row r="62" ht="15.75" customHeight="1">
      <c r="D62" s="158"/>
      <c r="G62" s="158"/>
      <c r="K62" s="276"/>
      <c r="N62" s="276"/>
      <c r="T62" s="277"/>
      <c r="Z62" s="278"/>
    </row>
    <row r="63" ht="15.75" customHeight="1">
      <c r="D63" s="158"/>
      <c r="G63" s="158"/>
      <c r="K63" s="276"/>
      <c r="N63" s="276"/>
      <c r="T63" s="277"/>
      <c r="Z63" s="278"/>
    </row>
    <row r="64" ht="15.75" customHeight="1">
      <c r="D64" s="158"/>
      <c r="G64" s="158"/>
      <c r="K64" s="276"/>
      <c r="N64" s="276"/>
      <c r="T64" s="277"/>
      <c r="Z64" s="278"/>
    </row>
    <row r="65" ht="15.75" customHeight="1">
      <c r="D65" s="158"/>
      <c r="G65" s="158"/>
      <c r="K65" s="276"/>
      <c r="N65" s="276"/>
      <c r="T65" s="277"/>
      <c r="Z65" s="278"/>
    </row>
    <row r="66" ht="15.75" customHeight="1">
      <c r="D66" s="158"/>
      <c r="G66" s="158"/>
      <c r="K66" s="276"/>
      <c r="N66" s="276"/>
      <c r="T66" s="277"/>
      <c r="Z66" s="278"/>
    </row>
    <row r="67" ht="15.75" customHeight="1">
      <c r="D67" s="158"/>
      <c r="G67" s="158"/>
      <c r="K67" s="276"/>
      <c r="N67" s="276"/>
      <c r="T67" s="277"/>
      <c r="Z67" s="278"/>
    </row>
    <row r="68" ht="15.75" customHeight="1">
      <c r="D68" s="158"/>
      <c r="G68" s="158"/>
      <c r="K68" s="276"/>
      <c r="N68" s="276"/>
      <c r="T68" s="277"/>
      <c r="Z68" s="278"/>
    </row>
    <row r="69" ht="15.75" customHeight="1">
      <c r="D69" s="158"/>
      <c r="G69" s="158"/>
      <c r="K69" s="276"/>
      <c r="N69" s="276"/>
      <c r="T69" s="277"/>
      <c r="Z69" s="278"/>
    </row>
    <row r="70" ht="15.75" customHeight="1">
      <c r="D70" s="158"/>
      <c r="G70" s="158"/>
      <c r="K70" s="276"/>
      <c r="N70" s="276"/>
      <c r="T70" s="277"/>
      <c r="Z70" s="278"/>
    </row>
    <row r="71" ht="15.75" customHeight="1">
      <c r="D71" s="158"/>
      <c r="G71" s="158"/>
      <c r="K71" s="276"/>
      <c r="N71" s="276"/>
      <c r="T71" s="277"/>
      <c r="Z71" s="278"/>
    </row>
    <row r="72" ht="15.75" customHeight="1">
      <c r="D72" s="158"/>
      <c r="G72" s="158"/>
      <c r="K72" s="276"/>
      <c r="N72" s="276"/>
      <c r="T72" s="277"/>
      <c r="Z72" s="278"/>
    </row>
    <row r="73" ht="15.75" customHeight="1">
      <c r="D73" s="158"/>
      <c r="G73" s="158"/>
      <c r="K73" s="276"/>
      <c r="N73" s="276"/>
      <c r="T73" s="277"/>
      <c r="Z73" s="278"/>
    </row>
    <row r="74" ht="15.75" customHeight="1">
      <c r="D74" s="158"/>
      <c r="G74" s="158"/>
      <c r="K74" s="276"/>
      <c r="N74" s="276"/>
      <c r="T74" s="277"/>
      <c r="Z74" s="278"/>
    </row>
    <row r="75" ht="15.75" customHeight="1">
      <c r="D75" s="158"/>
      <c r="G75" s="158"/>
      <c r="K75" s="276"/>
      <c r="N75" s="276"/>
      <c r="T75" s="277"/>
      <c r="Z75" s="278"/>
    </row>
    <row r="76" ht="15.75" customHeight="1">
      <c r="D76" s="158"/>
      <c r="G76" s="158"/>
      <c r="K76" s="276"/>
      <c r="N76" s="276"/>
      <c r="T76" s="277"/>
      <c r="Z76" s="278"/>
    </row>
    <row r="77" ht="15.75" customHeight="1">
      <c r="D77" s="158"/>
      <c r="G77" s="158"/>
      <c r="K77" s="276"/>
      <c r="N77" s="276"/>
      <c r="T77" s="277"/>
      <c r="Z77" s="278"/>
    </row>
    <row r="78" ht="15.75" customHeight="1">
      <c r="D78" s="158"/>
      <c r="G78" s="158"/>
      <c r="K78" s="276"/>
      <c r="N78" s="276"/>
      <c r="T78" s="277"/>
      <c r="Z78" s="278"/>
    </row>
    <row r="79" ht="15.75" customHeight="1">
      <c r="D79" s="158"/>
      <c r="G79" s="158"/>
      <c r="K79" s="276"/>
      <c r="N79" s="276"/>
      <c r="T79" s="277"/>
      <c r="Z79" s="278"/>
    </row>
    <row r="80" ht="15.75" customHeight="1">
      <c r="D80" s="158"/>
      <c r="G80" s="158"/>
      <c r="K80" s="276"/>
      <c r="N80" s="276"/>
      <c r="T80" s="277"/>
      <c r="Z80" s="278"/>
    </row>
    <row r="81" ht="15.75" customHeight="1">
      <c r="D81" s="158"/>
      <c r="G81" s="158"/>
      <c r="K81" s="276"/>
      <c r="N81" s="276"/>
      <c r="T81" s="277"/>
      <c r="Z81" s="278"/>
    </row>
    <row r="82" ht="15.75" customHeight="1">
      <c r="D82" s="158"/>
      <c r="G82" s="158"/>
      <c r="K82" s="276"/>
      <c r="N82" s="276"/>
      <c r="T82" s="277"/>
      <c r="Z82" s="278"/>
    </row>
    <row r="83" ht="15.75" customHeight="1">
      <c r="D83" s="158"/>
      <c r="G83" s="158"/>
      <c r="K83" s="276"/>
      <c r="N83" s="276"/>
      <c r="T83" s="277"/>
      <c r="Z83" s="278"/>
    </row>
    <row r="84" ht="15.75" customHeight="1">
      <c r="D84" s="158"/>
      <c r="G84" s="158"/>
      <c r="K84" s="276"/>
      <c r="N84" s="276"/>
      <c r="T84" s="277"/>
      <c r="Z84" s="278"/>
    </row>
    <row r="85" ht="15.75" customHeight="1">
      <c r="D85" s="158"/>
      <c r="G85" s="158"/>
      <c r="K85" s="276"/>
      <c r="N85" s="276"/>
      <c r="T85" s="277"/>
      <c r="Z85" s="278"/>
    </row>
    <row r="86" ht="15.75" customHeight="1">
      <c r="D86" s="158"/>
      <c r="G86" s="158"/>
      <c r="K86" s="276"/>
      <c r="N86" s="276"/>
      <c r="T86" s="277"/>
      <c r="Z86" s="278"/>
    </row>
    <row r="87" ht="15.75" customHeight="1">
      <c r="D87" s="158"/>
      <c r="G87" s="158"/>
      <c r="K87" s="276"/>
      <c r="N87" s="276"/>
      <c r="T87" s="277"/>
      <c r="Z87" s="278"/>
    </row>
    <row r="88" ht="15.75" customHeight="1">
      <c r="D88" s="158"/>
      <c r="G88" s="158"/>
      <c r="K88" s="276"/>
      <c r="N88" s="276"/>
      <c r="T88" s="277"/>
      <c r="Z88" s="278"/>
    </row>
    <row r="89" ht="15.75" customHeight="1">
      <c r="D89" s="158"/>
      <c r="G89" s="158"/>
      <c r="K89" s="276"/>
      <c r="N89" s="276"/>
      <c r="T89" s="277"/>
      <c r="Z89" s="278"/>
    </row>
    <row r="90" ht="15.75" customHeight="1">
      <c r="D90" s="158"/>
      <c r="G90" s="158"/>
      <c r="K90" s="276"/>
      <c r="N90" s="276"/>
      <c r="T90" s="277"/>
      <c r="Z90" s="278"/>
    </row>
    <row r="91" ht="15.75" customHeight="1">
      <c r="D91" s="158"/>
      <c r="G91" s="158"/>
      <c r="K91" s="276"/>
      <c r="N91" s="276"/>
      <c r="T91" s="277"/>
      <c r="Z91" s="278"/>
    </row>
    <row r="92" ht="15.75" customHeight="1">
      <c r="D92" s="158"/>
      <c r="G92" s="158"/>
      <c r="K92" s="276"/>
      <c r="N92" s="276"/>
      <c r="T92" s="277"/>
      <c r="Z92" s="278"/>
    </row>
    <row r="93" ht="15.75" customHeight="1">
      <c r="D93" s="158"/>
      <c r="G93" s="158"/>
      <c r="K93" s="276"/>
      <c r="N93" s="276"/>
      <c r="T93" s="277"/>
      <c r="Z93" s="278"/>
    </row>
    <row r="94" ht="15.75" customHeight="1">
      <c r="D94" s="158"/>
      <c r="G94" s="158"/>
      <c r="K94" s="276"/>
      <c r="N94" s="276"/>
      <c r="T94" s="277"/>
      <c r="Z94" s="278"/>
    </row>
    <row r="95" ht="15.75" customHeight="1">
      <c r="D95" s="158"/>
      <c r="G95" s="158"/>
      <c r="K95" s="276"/>
      <c r="N95" s="276"/>
      <c r="T95" s="277"/>
      <c r="Z95" s="278"/>
    </row>
    <row r="96" ht="15.75" customHeight="1">
      <c r="D96" s="158"/>
      <c r="G96" s="158"/>
      <c r="K96" s="276"/>
      <c r="N96" s="276"/>
      <c r="T96" s="277"/>
      <c r="Z96" s="278"/>
    </row>
    <row r="97" ht="15.75" customHeight="1">
      <c r="D97" s="158"/>
      <c r="G97" s="158"/>
      <c r="K97" s="276"/>
      <c r="N97" s="276"/>
      <c r="T97" s="277"/>
      <c r="Z97" s="278"/>
    </row>
    <row r="98" ht="15.75" customHeight="1">
      <c r="D98" s="158"/>
      <c r="G98" s="158"/>
      <c r="K98" s="276"/>
      <c r="N98" s="276"/>
      <c r="T98" s="277"/>
      <c r="Z98" s="278"/>
    </row>
    <row r="99" ht="15.75" customHeight="1">
      <c r="D99" s="158"/>
      <c r="G99" s="158"/>
      <c r="K99" s="276"/>
      <c r="N99" s="276"/>
      <c r="T99" s="277"/>
      <c r="Z99" s="278"/>
    </row>
    <row r="100" ht="15.75" customHeight="1">
      <c r="D100" s="158"/>
      <c r="G100" s="158"/>
      <c r="K100" s="276"/>
      <c r="N100" s="276"/>
      <c r="T100" s="277"/>
      <c r="Z100" s="278"/>
    </row>
    <row r="101" ht="15.75" customHeight="1">
      <c r="D101" s="158"/>
      <c r="G101" s="158"/>
      <c r="K101" s="276"/>
      <c r="N101" s="276"/>
      <c r="T101" s="277"/>
      <c r="Z101" s="278"/>
    </row>
    <row r="102" ht="15.75" customHeight="1">
      <c r="D102" s="158"/>
      <c r="G102" s="158"/>
      <c r="K102" s="276"/>
      <c r="N102" s="276"/>
      <c r="T102" s="277"/>
      <c r="Z102" s="278"/>
    </row>
    <row r="103" ht="15.75" customHeight="1">
      <c r="D103" s="158"/>
      <c r="G103" s="158"/>
      <c r="K103" s="276"/>
      <c r="N103" s="276"/>
      <c r="T103" s="277"/>
      <c r="Z103" s="278"/>
    </row>
    <row r="104" ht="15.75" customHeight="1">
      <c r="D104" s="158"/>
      <c r="G104" s="158"/>
      <c r="K104" s="276"/>
      <c r="N104" s="276"/>
      <c r="T104" s="277"/>
      <c r="Z104" s="278"/>
    </row>
    <row r="105" ht="15.75" customHeight="1">
      <c r="D105" s="158"/>
      <c r="G105" s="158"/>
      <c r="K105" s="276"/>
      <c r="N105" s="276"/>
      <c r="T105" s="277"/>
      <c r="Z105" s="278"/>
    </row>
    <row r="106" ht="15.75" customHeight="1">
      <c r="D106" s="158"/>
      <c r="G106" s="158"/>
      <c r="K106" s="276"/>
      <c r="N106" s="276"/>
      <c r="T106" s="277"/>
      <c r="Z106" s="278"/>
    </row>
    <row r="107" ht="15.75" customHeight="1">
      <c r="D107" s="158"/>
      <c r="G107" s="158"/>
      <c r="K107" s="276"/>
      <c r="N107" s="276"/>
      <c r="T107" s="277"/>
      <c r="Z107" s="278"/>
    </row>
    <row r="108" ht="15.75" customHeight="1">
      <c r="D108" s="158"/>
      <c r="G108" s="158"/>
      <c r="K108" s="276"/>
      <c r="N108" s="276"/>
      <c r="T108" s="277"/>
      <c r="Z108" s="278"/>
    </row>
    <row r="109" ht="15.75" customHeight="1">
      <c r="D109" s="158"/>
      <c r="G109" s="158"/>
      <c r="K109" s="276"/>
      <c r="N109" s="276"/>
      <c r="T109" s="277"/>
      <c r="Z109" s="278"/>
    </row>
    <row r="110" ht="15.75" customHeight="1">
      <c r="D110" s="158"/>
      <c r="G110" s="158"/>
      <c r="K110" s="276"/>
      <c r="N110" s="276"/>
      <c r="T110" s="277"/>
      <c r="Z110" s="278"/>
    </row>
    <row r="111" ht="15.75" customHeight="1">
      <c r="D111" s="158"/>
      <c r="G111" s="158"/>
      <c r="K111" s="276"/>
      <c r="N111" s="276"/>
      <c r="T111" s="277"/>
      <c r="Z111" s="278"/>
    </row>
    <row r="112" ht="15.75" customHeight="1">
      <c r="D112" s="158"/>
      <c r="G112" s="158"/>
      <c r="K112" s="276"/>
      <c r="N112" s="276"/>
      <c r="T112" s="277"/>
      <c r="Z112" s="278"/>
    </row>
    <row r="113" ht="15.75" customHeight="1">
      <c r="D113" s="158"/>
      <c r="G113" s="158"/>
      <c r="K113" s="276"/>
      <c r="N113" s="276"/>
      <c r="T113" s="277"/>
      <c r="Z113" s="278"/>
    </row>
    <row r="114" ht="15.75" customHeight="1">
      <c r="D114" s="158"/>
      <c r="G114" s="158"/>
      <c r="K114" s="276"/>
      <c r="N114" s="276"/>
      <c r="T114" s="277"/>
      <c r="Z114" s="278"/>
    </row>
    <row r="115" ht="15.75" customHeight="1">
      <c r="D115" s="158"/>
      <c r="G115" s="158"/>
      <c r="K115" s="276"/>
      <c r="N115" s="276"/>
      <c r="T115" s="277"/>
      <c r="Z115" s="278"/>
    </row>
    <row r="116" ht="15.75" customHeight="1">
      <c r="D116" s="158"/>
      <c r="G116" s="158"/>
      <c r="K116" s="276"/>
      <c r="N116" s="276"/>
      <c r="T116" s="277"/>
      <c r="Z116" s="278"/>
    </row>
    <row r="117" ht="15.75" customHeight="1">
      <c r="D117" s="158"/>
      <c r="G117" s="158"/>
      <c r="K117" s="276"/>
      <c r="N117" s="276"/>
      <c r="T117" s="277"/>
      <c r="Z117" s="278"/>
    </row>
    <row r="118" ht="15.75" customHeight="1">
      <c r="D118" s="158"/>
      <c r="G118" s="158"/>
      <c r="K118" s="276"/>
      <c r="N118" s="276"/>
      <c r="T118" s="277"/>
      <c r="Z118" s="278"/>
    </row>
    <row r="119" ht="15.75" customHeight="1">
      <c r="D119" s="158"/>
      <c r="G119" s="158"/>
      <c r="K119" s="276"/>
      <c r="N119" s="276"/>
      <c r="T119" s="277"/>
      <c r="Z119" s="278"/>
    </row>
    <row r="120" ht="15.75" customHeight="1">
      <c r="D120" s="158"/>
      <c r="G120" s="158"/>
      <c r="K120" s="276"/>
      <c r="N120" s="276"/>
      <c r="T120" s="277"/>
      <c r="Z120" s="278"/>
    </row>
    <row r="121" ht="15.75" customHeight="1">
      <c r="D121" s="158"/>
      <c r="G121" s="158"/>
      <c r="K121" s="276"/>
      <c r="N121" s="276"/>
      <c r="T121" s="277"/>
      <c r="Z121" s="278"/>
    </row>
    <row r="122" ht="15.75" customHeight="1">
      <c r="D122" s="158"/>
      <c r="G122" s="158"/>
      <c r="K122" s="276"/>
      <c r="N122" s="276"/>
      <c r="T122" s="277"/>
      <c r="Z122" s="278"/>
    </row>
    <row r="123" ht="15.75" customHeight="1">
      <c r="D123" s="158"/>
      <c r="G123" s="158"/>
      <c r="K123" s="276"/>
      <c r="N123" s="276"/>
      <c r="T123" s="277"/>
      <c r="Z123" s="278"/>
    </row>
    <row r="124" ht="15.75" customHeight="1">
      <c r="D124" s="158"/>
      <c r="G124" s="158"/>
      <c r="K124" s="276"/>
      <c r="N124" s="276"/>
      <c r="T124" s="277"/>
      <c r="Z124" s="278"/>
    </row>
    <row r="125" ht="15.75" customHeight="1">
      <c r="D125" s="158"/>
      <c r="G125" s="158"/>
      <c r="K125" s="276"/>
      <c r="N125" s="276"/>
      <c r="T125" s="277"/>
      <c r="Z125" s="278"/>
    </row>
    <row r="126" ht="15.75" customHeight="1">
      <c r="D126" s="158"/>
      <c r="G126" s="158"/>
      <c r="K126" s="276"/>
      <c r="N126" s="276"/>
      <c r="T126" s="277"/>
      <c r="Z126" s="278"/>
    </row>
    <row r="127" ht="15.75" customHeight="1">
      <c r="D127" s="158"/>
      <c r="G127" s="158"/>
      <c r="K127" s="276"/>
      <c r="N127" s="276"/>
      <c r="T127" s="277"/>
      <c r="Z127" s="278"/>
    </row>
    <row r="128" ht="15.75" customHeight="1">
      <c r="D128" s="158"/>
      <c r="G128" s="158"/>
      <c r="K128" s="276"/>
      <c r="N128" s="276"/>
      <c r="T128" s="277"/>
      <c r="Z128" s="278"/>
    </row>
    <row r="129" ht="15.75" customHeight="1">
      <c r="D129" s="158"/>
      <c r="G129" s="158"/>
      <c r="K129" s="276"/>
      <c r="N129" s="276"/>
      <c r="T129" s="277"/>
      <c r="Z129" s="278"/>
    </row>
    <row r="130" ht="15.75" customHeight="1">
      <c r="D130" s="158"/>
      <c r="G130" s="158"/>
      <c r="K130" s="276"/>
      <c r="N130" s="276"/>
      <c r="T130" s="277"/>
      <c r="Z130" s="278"/>
    </row>
    <row r="131" ht="15.75" customHeight="1">
      <c r="D131" s="158"/>
      <c r="G131" s="158"/>
      <c r="K131" s="276"/>
      <c r="N131" s="276"/>
      <c r="T131" s="277"/>
      <c r="Z131" s="278"/>
    </row>
    <row r="132" ht="15.75" customHeight="1">
      <c r="D132" s="158"/>
      <c r="G132" s="158"/>
      <c r="K132" s="276"/>
      <c r="N132" s="276"/>
      <c r="T132" s="277"/>
      <c r="Z132" s="278"/>
    </row>
    <row r="133" ht="15.75" customHeight="1">
      <c r="D133" s="158"/>
      <c r="G133" s="158"/>
      <c r="K133" s="276"/>
      <c r="N133" s="276"/>
      <c r="T133" s="277"/>
      <c r="Z133" s="278"/>
    </row>
    <row r="134" ht="15.75" customHeight="1">
      <c r="D134" s="158"/>
      <c r="G134" s="158"/>
      <c r="K134" s="276"/>
      <c r="N134" s="276"/>
      <c r="T134" s="277"/>
      <c r="Z134" s="278"/>
    </row>
    <row r="135" ht="15.75" customHeight="1">
      <c r="D135" s="158"/>
      <c r="G135" s="158"/>
      <c r="K135" s="276"/>
      <c r="N135" s="276"/>
      <c r="T135" s="277"/>
      <c r="Z135" s="278"/>
    </row>
    <row r="136" ht="15.75" customHeight="1">
      <c r="D136" s="158"/>
      <c r="G136" s="158"/>
      <c r="K136" s="276"/>
      <c r="N136" s="276"/>
      <c r="T136" s="277"/>
      <c r="Z136" s="278"/>
    </row>
    <row r="137" ht="15.75" customHeight="1">
      <c r="D137" s="158"/>
      <c r="G137" s="158"/>
      <c r="K137" s="276"/>
      <c r="N137" s="276"/>
      <c r="T137" s="277"/>
      <c r="Z137" s="278"/>
    </row>
    <row r="138" ht="15.75" customHeight="1">
      <c r="D138" s="158"/>
      <c r="G138" s="158"/>
      <c r="K138" s="276"/>
      <c r="N138" s="276"/>
      <c r="T138" s="277"/>
      <c r="Z138" s="278"/>
    </row>
    <row r="139" ht="15.75" customHeight="1">
      <c r="D139" s="158"/>
      <c r="G139" s="158"/>
      <c r="K139" s="276"/>
      <c r="N139" s="276"/>
      <c r="T139" s="277"/>
      <c r="Z139" s="278"/>
    </row>
    <row r="140" ht="15.75" customHeight="1">
      <c r="D140" s="158"/>
      <c r="G140" s="158"/>
      <c r="K140" s="276"/>
      <c r="N140" s="276"/>
      <c r="T140" s="277"/>
      <c r="Z140" s="278"/>
    </row>
    <row r="141" ht="15.75" customHeight="1">
      <c r="D141" s="158"/>
      <c r="G141" s="158"/>
      <c r="K141" s="276"/>
      <c r="N141" s="276"/>
      <c r="T141" s="277"/>
      <c r="Z141" s="278"/>
    </row>
    <row r="142" ht="15.75" customHeight="1">
      <c r="D142" s="158"/>
      <c r="G142" s="158"/>
      <c r="K142" s="276"/>
      <c r="N142" s="276"/>
      <c r="T142" s="277"/>
      <c r="Z142" s="278"/>
    </row>
    <row r="143" ht="15.75" customHeight="1">
      <c r="D143" s="158"/>
      <c r="G143" s="158"/>
      <c r="K143" s="276"/>
      <c r="N143" s="276"/>
      <c r="T143" s="277"/>
      <c r="Z143" s="278"/>
    </row>
    <row r="144" ht="15.75" customHeight="1">
      <c r="D144" s="158"/>
      <c r="G144" s="158"/>
      <c r="K144" s="276"/>
      <c r="N144" s="276"/>
      <c r="T144" s="277"/>
      <c r="Z144" s="278"/>
    </row>
    <row r="145" ht="15.75" customHeight="1">
      <c r="D145" s="158"/>
      <c r="G145" s="158"/>
      <c r="K145" s="276"/>
      <c r="N145" s="276"/>
      <c r="T145" s="277"/>
      <c r="Z145" s="278"/>
    </row>
    <row r="146" ht="15.75" customHeight="1">
      <c r="D146" s="158"/>
      <c r="G146" s="158"/>
      <c r="K146" s="276"/>
      <c r="N146" s="276"/>
      <c r="T146" s="277"/>
      <c r="Z146" s="278"/>
    </row>
    <row r="147" ht="15.75" customHeight="1">
      <c r="D147" s="158"/>
      <c r="G147" s="158"/>
      <c r="K147" s="276"/>
      <c r="N147" s="276"/>
      <c r="T147" s="277"/>
      <c r="Z147" s="278"/>
    </row>
    <row r="148" ht="15.75" customHeight="1">
      <c r="D148" s="158"/>
      <c r="G148" s="158"/>
      <c r="K148" s="276"/>
      <c r="N148" s="276"/>
      <c r="T148" s="277"/>
      <c r="Z148" s="278"/>
    </row>
    <row r="149" ht="15.75" customHeight="1">
      <c r="D149" s="158"/>
      <c r="G149" s="158"/>
      <c r="K149" s="276"/>
      <c r="N149" s="276"/>
      <c r="T149" s="277"/>
      <c r="Z149" s="278"/>
    </row>
    <row r="150" ht="15.75" customHeight="1">
      <c r="D150" s="158"/>
      <c r="G150" s="158"/>
      <c r="K150" s="276"/>
      <c r="N150" s="276"/>
      <c r="T150" s="277"/>
      <c r="Z150" s="278"/>
    </row>
    <row r="151" ht="15.75" customHeight="1">
      <c r="D151" s="158"/>
      <c r="G151" s="158"/>
      <c r="K151" s="276"/>
      <c r="N151" s="276"/>
      <c r="T151" s="277"/>
      <c r="Z151" s="278"/>
    </row>
    <row r="152" ht="15.75" customHeight="1">
      <c r="D152" s="158"/>
      <c r="G152" s="158"/>
      <c r="K152" s="276"/>
      <c r="N152" s="276"/>
      <c r="T152" s="277"/>
      <c r="Z152" s="278"/>
    </row>
    <row r="153" ht="15.75" customHeight="1">
      <c r="D153" s="158"/>
      <c r="G153" s="158"/>
      <c r="K153" s="276"/>
      <c r="N153" s="276"/>
      <c r="T153" s="277"/>
      <c r="Z153" s="278"/>
    </row>
    <row r="154" ht="15.75" customHeight="1">
      <c r="D154" s="158"/>
      <c r="G154" s="158"/>
      <c r="K154" s="276"/>
      <c r="N154" s="276"/>
      <c r="T154" s="277"/>
      <c r="Z154" s="278"/>
    </row>
    <row r="155" ht="15.75" customHeight="1">
      <c r="D155" s="158"/>
      <c r="G155" s="158"/>
      <c r="K155" s="276"/>
      <c r="N155" s="276"/>
      <c r="T155" s="277"/>
      <c r="Z155" s="278"/>
    </row>
    <row r="156" ht="15.75" customHeight="1">
      <c r="D156" s="158"/>
      <c r="G156" s="158"/>
      <c r="K156" s="276"/>
      <c r="N156" s="276"/>
      <c r="T156" s="277"/>
      <c r="Z156" s="278"/>
    </row>
    <row r="157" ht="15.75" customHeight="1">
      <c r="D157" s="158"/>
      <c r="G157" s="158"/>
      <c r="K157" s="276"/>
      <c r="N157" s="276"/>
      <c r="T157" s="277"/>
      <c r="Z157" s="278"/>
    </row>
    <row r="158" ht="15.75" customHeight="1">
      <c r="D158" s="158"/>
      <c r="G158" s="158"/>
      <c r="K158" s="276"/>
      <c r="N158" s="276"/>
      <c r="T158" s="277"/>
      <c r="Z158" s="278"/>
    </row>
    <row r="159" ht="15.75" customHeight="1">
      <c r="D159" s="158"/>
      <c r="G159" s="158"/>
      <c r="K159" s="276"/>
      <c r="N159" s="276"/>
      <c r="T159" s="277"/>
      <c r="Z159" s="278"/>
    </row>
    <row r="160" ht="15.75" customHeight="1">
      <c r="D160" s="158"/>
      <c r="G160" s="158"/>
      <c r="K160" s="276"/>
      <c r="N160" s="276"/>
      <c r="T160" s="277"/>
      <c r="Z160" s="278"/>
    </row>
    <row r="161" ht="15.75" customHeight="1">
      <c r="D161" s="158"/>
      <c r="G161" s="158"/>
      <c r="K161" s="276"/>
      <c r="N161" s="276"/>
      <c r="T161" s="277"/>
      <c r="Z161" s="278"/>
    </row>
    <row r="162" ht="15.75" customHeight="1">
      <c r="D162" s="158"/>
      <c r="G162" s="158"/>
      <c r="K162" s="276"/>
      <c r="N162" s="276"/>
      <c r="T162" s="277"/>
      <c r="Z162" s="278"/>
    </row>
    <row r="163" ht="15.75" customHeight="1">
      <c r="D163" s="158"/>
      <c r="G163" s="158"/>
      <c r="K163" s="276"/>
      <c r="N163" s="276"/>
      <c r="T163" s="277"/>
      <c r="Z163" s="278"/>
    </row>
    <row r="164" ht="15.75" customHeight="1">
      <c r="D164" s="158"/>
      <c r="G164" s="158"/>
      <c r="K164" s="276"/>
      <c r="N164" s="276"/>
      <c r="T164" s="277"/>
      <c r="Z164" s="278"/>
    </row>
    <row r="165" ht="15.75" customHeight="1">
      <c r="D165" s="158"/>
      <c r="G165" s="158"/>
      <c r="K165" s="276"/>
      <c r="N165" s="276"/>
      <c r="T165" s="277"/>
      <c r="Z165" s="278"/>
    </row>
    <row r="166" ht="15.75" customHeight="1">
      <c r="D166" s="158"/>
      <c r="G166" s="158"/>
      <c r="K166" s="276"/>
      <c r="N166" s="276"/>
      <c r="T166" s="277"/>
      <c r="Z166" s="278"/>
    </row>
    <row r="167" ht="15.75" customHeight="1">
      <c r="D167" s="158"/>
      <c r="G167" s="158"/>
      <c r="K167" s="276"/>
      <c r="N167" s="276"/>
      <c r="T167" s="277"/>
      <c r="Z167" s="278"/>
    </row>
    <row r="168" ht="15.75" customHeight="1">
      <c r="D168" s="158"/>
      <c r="G168" s="158"/>
      <c r="K168" s="276"/>
      <c r="N168" s="276"/>
      <c r="T168" s="277"/>
      <c r="Z168" s="278"/>
    </row>
    <row r="169" ht="15.75" customHeight="1">
      <c r="D169" s="158"/>
      <c r="G169" s="158"/>
      <c r="K169" s="276"/>
      <c r="N169" s="276"/>
      <c r="T169" s="277"/>
      <c r="Z169" s="278"/>
    </row>
    <row r="170" ht="15.75" customHeight="1">
      <c r="D170" s="158"/>
      <c r="G170" s="158"/>
      <c r="K170" s="276"/>
      <c r="N170" s="276"/>
      <c r="T170" s="277"/>
      <c r="Z170" s="278"/>
    </row>
    <row r="171" ht="15.75" customHeight="1">
      <c r="D171" s="158"/>
      <c r="G171" s="158"/>
      <c r="K171" s="276"/>
      <c r="N171" s="276"/>
      <c r="T171" s="277"/>
      <c r="Z171" s="278"/>
    </row>
    <row r="172" ht="15.75" customHeight="1">
      <c r="D172" s="158"/>
      <c r="G172" s="158"/>
      <c r="K172" s="276"/>
      <c r="N172" s="276"/>
      <c r="T172" s="277"/>
      <c r="Z172" s="278"/>
    </row>
    <row r="173" ht="15.75" customHeight="1">
      <c r="D173" s="158"/>
      <c r="G173" s="158"/>
      <c r="K173" s="276"/>
      <c r="N173" s="276"/>
      <c r="T173" s="277"/>
      <c r="Z173" s="278"/>
    </row>
    <row r="174" ht="15.75" customHeight="1">
      <c r="D174" s="158"/>
      <c r="G174" s="158"/>
      <c r="K174" s="276"/>
      <c r="N174" s="276"/>
      <c r="T174" s="277"/>
      <c r="Z174" s="278"/>
    </row>
    <row r="175" ht="15.75" customHeight="1">
      <c r="D175" s="158"/>
      <c r="G175" s="158"/>
      <c r="K175" s="276"/>
      <c r="N175" s="276"/>
      <c r="T175" s="277"/>
      <c r="Z175" s="278"/>
    </row>
    <row r="176" ht="15.75" customHeight="1">
      <c r="D176" s="158"/>
      <c r="G176" s="158"/>
      <c r="K176" s="276"/>
      <c r="N176" s="276"/>
      <c r="T176" s="277"/>
      <c r="Z176" s="278"/>
    </row>
    <row r="177" ht="15.75" customHeight="1">
      <c r="D177" s="158"/>
      <c r="G177" s="158"/>
      <c r="K177" s="276"/>
      <c r="N177" s="276"/>
      <c r="T177" s="277"/>
      <c r="Z177" s="278"/>
    </row>
    <row r="178" ht="15.75" customHeight="1">
      <c r="D178" s="158"/>
      <c r="G178" s="158"/>
      <c r="K178" s="276"/>
      <c r="N178" s="276"/>
      <c r="T178" s="277"/>
      <c r="Z178" s="278"/>
    </row>
    <row r="179" ht="15.75" customHeight="1">
      <c r="D179" s="158"/>
      <c r="G179" s="158"/>
      <c r="K179" s="276"/>
      <c r="N179" s="276"/>
      <c r="T179" s="277"/>
      <c r="Z179" s="278"/>
    </row>
    <row r="180" ht="15.75" customHeight="1">
      <c r="D180" s="158"/>
      <c r="G180" s="158"/>
      <c r="K180" s="276"/>
      <c r="N180" s="276"/>
      <c r="T180" s="277"/>
      <c r="Z180" s="278"/>
    </row>
    <row r="181" ht="15.75" customHeight="1">
      <c r="D181" s="158"/>
      <c r="G181" s="158"/>
      <c r="K181" s="276"/>
      <c r="N181" s="276"/>
      <c r="T181" s="277"/>
      <c r="Z181" s="278"/>
    </row>
    <row r="182" ht="15.75" customHeight="1">
      <c r="D182" s="158"/>
      <c r="G182" s="158"/>
      <c r="K182" s="276"/>
      <c r="N182" s="276"/>
      <c r="T182" s="277"/>
      <c r="Z182" s="278"/>
    </row>
    <row r="183" ht="15.75" customHeight="1">
      <c r="D183" s="158"/>
      <c r="G183" s="158"/>
      <c r="K183" s="276"/>
      <c r="N183" s="276"/>
      <c r="T183" s="277"/>
      <c r="Z183" s="278"/>
    </row>
    <row r="184" ht="15.75" customHeight="1">
      <c r="D184" s="158"/>
      <c r="G184" s="158"/>
      <c r="K184" s="276"/>
      <c r="N184" s="276"/>
      <c r="T184" s="277"/>
      <c r="Z184" s="278"/>
    </row>
    <row r="185" ht="15.75" customHeight="1">
      <c r="D185" s="158"/>
      <c r="G185" s="158"/>
      <c r="K185" s="276"/>
      <c r="N185" s="276"/>
      <c r="T185" s="277"/>
      <c r="Z185" s="278"/>
    </row>
    <row r="186" ht="15.75" customHeight="1">
      <c r="D186" s="158"/>
      <c r="G186" s="158"/>
      <c r="K186" s="276"/>
      <c r="N186" s="276"/>
      <c r="T186" s="277"/>
      <c r="Z186" s="278"/>
    </row>
    <row r="187" ht="15.75" customHeight="1">
      <c r="D187" s="158"/>
      <c r="G187" s="158"/>
      <c r="K187" s="276"/>
      <c r="N187" s="276"/>
      <c r="T187" s="277"/>
      <c r="Z187" s="278"/>
    </row>
    <row r="188" ht="15.75" customHeight="1">
      <c r="D188" s="158"/>
      <c r="G188" s="158"/>
      <c r="K188" s="276"/>
      <c r="N188" s="276"/>
      <c r="T188" s="277"/>
      <c r="Z188" s="278"/>
    </row>
    <row r="189" ht="15.75" customHeight="1">
      <c r="D189" s="158"/>
      <c r="G189" s="158"/>
      <c r="K189" s="276"/>
      <c r="N189" s="276"/>
      <c r="T189" s="277"/>
      <c r="Z189" s="278"/>
    </row>
    <row r="190" ht="15.75" customHeight="1">
      <c r="D190" s="158"/>
      <c r="G190" s="158"/>
      <c r="K190" s="276"/>
      <c r="N190" s="276"/>
      <c r="T190" s="277"/>
      <c r="Z190" s="278"/>
    </row>
    <row r="191" ht="15.75" customHeight="1">
      <c r="D191" s="158"/>
      <c r="G191" s="158"/>
      <c r="K191" s="276"/>
      <c r="N191" s="276"/>
      <c r="T191" s="277"/>
      <c r="Z191" s="278"/>
    </row>
    <row r="192" ht="15.75" customHeight="1">
      <c r="D192" s="158"/>
      <c r="G192" s="158"/>
      <c r="K192" s="276"/>
      <c r="N192" s="276"/>
      <c r="T192" s="277"/>
      <c r="Z192" s="278"/>
    </row>
    <row r="193" ht="15.75" customHeight="1">
      <c r="D193" s="158"/>
      <c r="G193" s="158"/>
      <c r="K193" s="276"/>
      <c r="N193" s="276"/>
      <c r="T193" s="277"/>
      <c r="Z193" s="278"/>
    </row>
    <row r="194" ht="15.75" customHeight="1">
      <c r="D194" s="158"/>
      <c r="G194" s="158"/>
      <c r="K194" s="276"/>
      <c r="N194" s="276"/>
      <c r="T194" s="277"/>
      <c r="Z194" s="278"/>
    </row>
    <row r="195" ht="15.75" customHeight="1">
      <c r="D195" s="158"/>
      <c r="G195" s="158"/>
      <c r="K195" s="276"/>
      <c r="N195" s="276"/>
      <c r="T195" s="277"/>
      <c r="Z195" s="278"/>
    </row>
    <row r="196" ht="15.75" customHeight="1">
      <c r="D196" s="158"/>
      <c r="G196" s="158"/>
      <c r="K196" s="276"/>
      <c r="N196" s="276"/>
      <c r="T196" s="277"/>
      <c r="Z196" s="278"/>
    </row>
    <row r="197" ht="15.75" customHeight="1">
      <c r="D197" s="158"/>
      <c r="G197" s="158"/>
      <c r="K197" s="276"/>
      <c r="N197" s="276"/>
      <c r="T197" s="277"/>
      <c r="Z197" s="278"/>
    </row>
    <row r="198" ht="15.75" customHeight="1">
      <c r="D198" s="158"/>
      <c r="G198" s="158"/>
      <c r="K198" s="276"/>
      <c r="N198" s="276"/>
      <c r="T198" s="277"/>
      <c r="Z198" s="278"/>
    </row>
    <row r="199" ht="15.75" customHeight="1">
      <c r="D199" s="158"/>
      <c r="G199" s="158"/>
      <c r="K199" s="276"/>
      <c r="N199" s="276"/>
      <c r="T199" s="277"/>
      <c r="Z199" s="278"/>
    </row>
    <row r="200" ht="15.75" customHeight="1">
      <c r="D200" s="158"/>
      <c r="G200" s="158"/>
      <c r="K200" s="276"/>
      <c r="N200" s="276"/>
      <c r="T200" s="277"/>
      <c r="Z200" s="278"/>
    </row>
    <row r="201" ht="15.75" customHeight="1">
      <c r="D201" s="158"/>
      <c r="G201" s="158"/>
      <c r="K201" s="276"/>
      <c r="N201" s="276"/>
      <c r="T201" s="277"/>
      <c r="Z201" s="278"/>
    </row>
    <row r="202" ht="15.75" customHeight="1">
      <c r="D202" s="158"/>
      <c r="G202" s="158"/>
      <c r="K202" s="276"/>
      <c r="N202" s="276"/>
      <c r="T202" s="277"/>
      <c r="Z202" s="278"/>
    </row>
    <row r="203" ht="15.75" customHeight="1">
      <c r="D203" s="158"/>
      <c r="G203" s="158"/>
      <c r="K203" s="276"/>
      <c r="N203" s="276"/>
      <c r="T203" s="277"/>
      <c r="Z203" s="278"/>
    </row>
    <row r="204" ht="15.75" customHeight="1">
      <c r="D204" s="158"/>
      <c r="G204" s="158"/>
      <c r="K204" s="276"/>
      <c r="N204" s="276"/>
      <c r="T204" s="277"/>
      <c r="Z204" s="278"/>
    </row>
    <row r="205" ht="15.75" customHeight="1">
      <c r="D205" s="158"/>
      <c r="G205" s="158"/>
      <c r="K205" s="276"/>
      <c r="N205" s="276"/>
      <c r="T205" s="277"/>
      <c r="Z205" s="278"/>
    </row>
    <row r="206" ht="15.75" customHeight="1">
      <c r="D206" s="158"/>
      <c r="G206" s="158"/>
      <c r="K206" s="276"/>
      <c r="N206" s="276"/>
      <c r="T206" s="277"/>
      <c r="Z206" s="278"/>
    </row>
    <row r="207" ht="15.75" customHeight="1">
      <c r="D207" s="158"/>
      <c r="G207" s="158"/>
      <c r="K207" s="276"/>
      <c r="N207" s="276"/>
      <c r="T207" s="277"/>
      <c r="Z207" s="278"/>
    </row>
    <row r="208" ht="15.75" customHeight="1">
      <c r="D208" s="158"/>
      <c r="G208" s="158"/>
      <c r="K208" s="276"/>
      <c r="N208" s="276"/>
      <c r="T208" s="277"/>
      <c r="Z208" s="278"/>
    </row>
    <row r="209" ht="15.75" customHeight="1">
      <c r="D209" s="158"/>
      <c r="G209" s="158"/>
      <c r="K209" s="276"/>
      <c r="N209" s="276"/>
      <c r="T209" s="277"/>
      <c r="Z209" s="278"/>
    </row>
    <row r="210" ht="15.75" customHeight="1">
      <c r="D210" s="158"/>
      <c r="G210" s="158"/>
      <c r="K210" s="276"/>
      <c r="N210" s="276"/>
      <c r="T210" s="277"/>
      <c r="Z210" s="278"/>
    </row>
    <row r="211" ht="15.75" customHeight="1">
      <c r="D211" s="158"/>
      <c r="G211" s="158"/>
      <c r="K211" s="276"/>
      <c r="N211" s="276"/>
      <c r="T211" s="277"/>
      <c r="Z211" s="278"/>
    </row>
    <row r="212" ht="15.75" customHeight="1">
      <c r="D212" s="158"/>
      <c r="G212" s="158"/>
      <c r="K212" s="276"/>
      <c r="N212" s="276"/>
      <c r="T212" s="277"/>
      <c r="Z212" s="278"/>
    </row>
    <row r="213" ht="15.75" customHeight="1">
      <c r="D213" s="158"/>
      <c r="G213" s="158"/>
      <c r="K213" s="276"/>
      <c r="N213" s="276"/>
      <c r="T213" s="277"/>
      <c r="Z213" s="278"/>
    </row>
    <row r="214" ht="15.75" customHeight="1">
      <c r="D214" s="158"/>
      <c r="G214" s="158"/>
      <c r="K214" s="276"/>
      <c r="N214" s="276"/>
      <c r="T214" s="277"/>
      <c r="Z214" s="278"/>
    </row>
    <row r="215" ht="15.75" customHeight="1">
      <c r="D215" s="158"/>
      <c r="G215" s="158"/>
      <c r="K215" s="276"/>
      <c r="N215" s="276"/>
      <c r="T215" s="277"/>
      <c r="Z215" s="278"/>
    </row>
    <row r="216" ht="15.75" customHeight="1">
      <c r="D216" s="158"/>
      <c r="G216" s="158"/>
      <c r="K216" s="276"/>
      <c r="N216" s="276"/>
      <c r="T216" s="277"/>
      <c r="Z216" s="278"/>
    </row>
    <row r="217" ht="15.75" customHeight="1">
      <c r="D217" s="158"/>
      <c r="G217" s="158"/>
      <c r="K217" s="276"/>
      <c r="N217" s="276"/>
      <c r="T217" s="277"/>
      <c r="Z217" s="278"/>
    </row>
    <row r="218" ht="15.75" customHeight="1">
      <c r="D218" s="158"/>
      <c r="G218" s="158"/>
      <c r="K218" s="276"/>
      <c r="N218" s="276"/>
      <c r="T218" s="277"/>
      <c r="Z218" s="278"/>
    </row>
    <row r="219" ht="15.75" customHeight="1">
      <c r="D219" s="158"/>
      <c r="G219" s="158"/>
      <c r="K219" s="276"/>
      <c r="N219" s="276"/>
      <c r="T219" s="277"/>
      <c r="Z219" s="278"/>
    </row>
    <row r="220" ht="15.75" customHeight="1">
      <c r="D220" s="158"/>
      <c r="G220" s="158"/>
      <c r="K220" s="276"/>
      <c r="N220" s="276"/>
      <c r="T220" s="277"/>
      <c r="Z220" s="278"/>
    </row>
    <row r="221" ht="15.75" customHeight="1">
      <c r="D221" s="158"/>
      <c r="G221" s="158"/>
      <c r="K221" s="276"/>
      <c r="N221" s="276"/>
      <c r="T221" s="277"/>
      <c r="Z221" s="278"/>
    </row>
    <row r="222" ht="15.75" customHeight="1">
      <c r="D222" s="158"/>
      <c r="G222" s="158"/>
      <c r="K222" s="276"/>
      <c r="N222" s="276"/>
      <c r="T222" s="277"/>
      <c r="Z222" s="278"/>
    </row>
    <row r="223" ht="15.75" customHeight="1">
      <c r="D223" s="158"/>
      <c r="G223" s="158"/>
      <c r="K223" s="276"/>
      <c r="N223" s="276"/>
      <c r="T223" s="277"/>
      <c r="Z223" s="278"/>
    </row>
    <row r="224" ht="15.75" customHeight="1">
      <c r="D224" s="158"/>
      <c r="G224" s="158"/>
      <c r="K224" s="276"/>
      <c r="N224" s="276"/>
      <c r="T224" s="277"/>
      <c r="Z224" s="278"/>
    </row>
    <row r="225" ht="15.75" customHeight="1">
      <c r="D225" s="158"/>
      <c r="G225" s="158"/>
      <c r="K225" s="276"/>
      <c r="N225" s="276"/>
      <c r="T225" s="277"/>
      <c r="Z225" s="278"/>
    </row>
    <row r="226" ht="15.75" customHeight="1">
      <c r="D226" s="158"/>
      <c r="G226" s="158"/>
      <c r="K226" s="276"/>
      <c r="N226" s="276"/>
      <c r="T226" s="277"/>
      <c r="Z226" s="278"/>
    </row>
    <row r="227" ht="15.75" customHeight="1">
      <c r="D227" s="158"/>
      <c r="G227" s="158"/>
      <c r="K227" s="276"/>
      <c r="N227" s="276"/>
      <c r="T227" s="277"/>
      <c r="Z227" s="278"/>
    </row>
    <row r="228" ht="15.75" customHeight="1">
      <c r="D228" s="158"/>
      <c r="G228" s="158"/>
      <c r="K228" s="276"/>
      <c r="N228" s="276"/>
      <c r="T228" s="277"/>
      <c r="Z228" s="278"/>
    </row>
    <row r="229" ht="15.75" customHeight="1">
      <c r="D229" s="158"/>
      <c r="G229" s="158"/>
      <c r="K229" s="276"/>
      <c r="N229" s="276"/>
      <c r="T229" s="277"/>
      <c r="Z229" s="278"/>
    </row>
    <row r="230" ht="15.75" customHeight="1">
      <c r="D230" s="158"/>
      <c r="G230" s="158"/>
      <c r="K230" s="276"/>
      <c r="N230" s="276"/>
      <c r="T230" s="277"/>
      <c r="Z230" s="278"/>
    </row>
    <row r="231" ht="15.75" customHeight="1">
      <c r="D231" s="158"/>
      <c r="G231" s="158"/>
      <c r="K231" s="276"/>
      <c r="N231" s="276"/>
      <c r="T231" s="277"/>
      <c r="Z231" s="278"/>
    </row>
    <row r="232" ht="15.75" customHeight="1">
      <c r="D232" s="158"/>
      <c r="G232" s="158"/>
      <c r="K232" s="276"/>
      <c r="N232" s="276"/>
      <c r="T232" s="277"/>
      <c r="Z232" s="278"/>
    </row>
    <row r="233" ht="15.75" customHeight="1">
      <c r="D233" s="158"/>
      <c r="G233" s="158"/>
      <c r="K233" s="276"/>
      <c r="N233" s="276"/>
      <c r="T233" s="277"/>
      <c r="Z233" s="278"/>
    </row>
    <row r="234" ht="15.75" customHeight="1">
      <c r="D234" s="158"/>
      <c r="G234" s="158"/>
      <c r="K234" s="276"/>
      <c r="N234" s="276"/>
      <c r="T234" s="277"/>
      <c r="Z234" s="278"/>
    </row>
    <row r="235" ht="15.75" customHeight="1">
      <c r="D235" s="158"/>
      <c r="G235" s="158"/>
      <c r="K235" s="276"/>
      <c r="N235" s="276"/>
      <c r="T235" s="277"/>
      <c r="Z235" s="278"/>
    </row>
    <row r="236" ht="15.75" customHeight="1">
      <c r="D236" s="158"/>
      <c r="G236" s="158"/>
      <c r="K236" s="276"/>
      <c r="N236" s="276"/>
      <c r="T236" s="277"/>
      <c r="Z236" s="278"/>
    </row>
    <row r="237" ht="15.75" customHeight="1">
      <c r="D237" s="158"/>
      <c r="G237" s="158"/>
      <c r="K237" s="276"/>
      <c r="N237" s="276"/>
      <c r="T237" s="277"/>
      <c r="Z237" s="278"/>
    </row>
    <row r="238" ht="15.75" customHeight="1">
      <c r="D238" s="158"/>
      <c r="G238" s="158"/>
      <c r="K238" s="276"/>
      <c r="N238" s="276"/>
      <c r="T238" s="277"/>
      <c r="Z238" s="278"/>
    </row>
    <row r="239" ht="15.75" customHeight="1">
      <c r="D239" s="158"/>
      <c r="G239" s="158"/>
      <c r="K239" s="276"/>
      <c r="N239" s="276"/>
      <c r="T239" s="277"/>
      <c r="Z239" s="278"/>
    </row>
    <row r="240" ht="15.75" customHeight="1">
      <c r="D240" s="158"/>
      <c r="G240" s="158"/>
      <c r="K240" s="276"/>
      <c r="N240" s="276"/>
      <c r="T240" s="277"/>
      <c r="Z240" s="278"/>
    </row>
    <row r="241" ht="15.75" customHeight="1">
      <c r="D241" s="158"/>
      <c r="G241" s="158"/>
      <c r="K241" s="276"/>
      <c r="N241" s="276"/>
      <c r="T241" s="277"/>
      <c r="Z241" s="278"/>
    </row>
    <row r="242" ht="15.75" customHeight="1">
      <c r="D242" s="158"/>
      <c r="G242" s="158"/>
      <c r="K242" s="276"/>
      <c r="N242" s="276"/>
      <c r="T242" s="277"/>
      <c r="Z242" s="278"/>
    </row>
    <row r="243" ht="15.75" customHeight="1">
      <c r="D243" s="158"/>
      <c r="G243" s="158"/>
      <c r="K243" s="276"/>
      <c r="N243" s="276"/>
      <c r="T243" s="277"/>
      <c r="Z243" s="278"/>
    </row>
    <row r="244" ht="15.75" customHeight="1">
      <c r="D244" s="158"/>
      <c r="G244" s="158"/>
      <c r="K244" s="276"/>
      <c r="N244" s="276"/>
      <c r="T244" s="277"/>
      <c r="Z244" s="278"/>
    </row>
    <row r="245" ht="15.75" customHeight="1">
      <c r="D245" s="158"/>
      <c r="G245" s="158"/>
      <c r="K245" s="276"/>
      <c r="N245" s="276"/>
      <c r="T245" s="277"/>
      <c r="Z245" s="278"/>
    </row>
    <row r="246" ht="15.75" customHeight="1">
      <c r="D246" s="158"/>
      <c r="G246" s="158"/>
      <c r="K246" s="276"/>
      <c r="N246" s="276"/>
      <c r="T246" s="277"/>
      <c r="Z246" s="278"/>
    </row>
    <row r="247" ht="15.75" customHeight="1">
      <c r="D247" s="158"/>
      <c r="G247" s="158"/>
      <c r="K247" s="276"/>
      <c r="N247" s="276"/>
      <c r="T247" s="277"/>
      <c r="Z247" s="278"/>
    </row>
    <row r="248" ht="15.75" customHeight="1">
      <c r="D248" s="158"/>
      <c r="G248" s="158"/>
      <c r="K248" s="276"/>
      <c r="N248" s="276"/>
      <c r="T248" s="277"/>
      <c r="Z248" s="278"/>
    </row>
    <row r="249" ht="15.75" customHeight="1">
      <c r="D249" s="158"/>
      <c r="G249" s="158"/>
      <c r="K249" s="276"/>
      <c r="N249" s="276"/>
      <c r="T249" s="277"/>
      <c r="Z249" s="278"/>
    </row>
    <row r="250" ht="15.75" customHeight="1">
      <c r="D250" s="158"/>
      <c r="G250" s="158"/>
      <c r="K250" s="276"/>
      <c r="N250" s="276"/>
      <c r="T250" s="277"/>
      <c r="Z250" s="278"/>
    </row>
    <row r="251" ht="15.75" customHeight="1">
      <c r="D251" s="158"/>
      <c r="G251" s="158"/>
      <c r="K251" s="276"/>
      <c r="N251" s="276"/>
      <c r="T251" s="277"/>
      <c r="Z251" s="278"/>
    </row>
    <row r="252" ht="15.75" customHeight="1">
      <c r="D252" s="158"/>
      <c r="G252" s="158"/>
      <c r="K252" s="276"/>
      <c r="N252" s="276"/>
      <c r="T252" s="277"/>
      <c r="Z252" s="278"/>
    </row>
    <row r="253" ht="15.75" customHeight="1">
      <c r="D253" s="158"/>
      <c r="G253" s="158"/>
      <c r="K253" s="276"/>
      <c r="N253" s="276"/>
      <c r="T253" s="277"/>
      <c r="Z253" s="278"/>
    </row>
    <row r="254" ht="15.75" customHeight="1">
      <c r="D254" s="158"/>
      <c r="G254" s="158"/>
      <c r="K254" s="276"/>
      <c r="N254" s="276"/>
      <c r="T254" s="277"/>
      <c r="Z254" s="278"/>
    </row>
    <row r="255" ht="15.75" customHeight="1">
      <c r="D255" s="158"/>
      <c r="G255" s="158"/>
      <c r="K255" s="276"/>
      <c r="N255" s="276"/>
      <c r="T255" s="277"/>
      <c r="Z255" s="278"/>
    </row>
    <row r="256" ht="15.75" customHeight="1">
      <c r="D256" s="158"/>
      <c r="G256" s="158"/>
      <c r="K256" s="276"/>
      <c r="N256" s="276"/>
      <c r="T256" s="277"/>
      <c r="Z256" s="278"/>
    </row>
    <row r="257" ht="15.75" customHeight="1">
      <c r="D257" s="158"/>
      <c r="G257" s="158"/>
      <c r="K257" s="276"/>
      <c r="N257" s="276"/>
      <c r="T257" s="277"/>
      <c r="Z257" s="278"/>
    </row>
    <row r="258" ht="15.75" customHeight="1">
      <c r="D258" s="158"/>
      <c r="G258" s="158"/>
      <c r="K258" s="276"/>
      <c r="N258" s="276"/>
      <c r="T258" s="277"/>
      <c r="Z258" s="278"/>
    </row>
    <row r="259" ht="15.75" customHeight="1">
      <c r="D259" s="158"/>
      <c r="G259" s="158"/>
      <c r="K259" s="276"/>
      <c r="N259" s="276"/>
      <c r="T259" s="277"/>
      <c r="Z259" s="278"/>
    </row>
    <row r="260" ht="15.75" customHeight="1">
      <c r="D260" s="158"/>
      <c r="G260" s="158"/>
      <c r="K260" s="276"/>
      <c r="N260" s="276"/>
      <c r="T260" s="277"/>
      <c r="Z260" s="278"/>
    </row>
    <row r="261" ht="15.75" customHeight="1">
      <c r="D261" s="158"/>
      <c r="G261" s="158"/>
      <c r="K261" s="276"/>
      <c r="N261" s="276"/>
      <c r="T261" s="277"/>
      <c r="Z261" s="278"/>
    </row>
    <row r="262" ht="15.75" customHeight="1">
      <c r="D262" s="158"/>
      <c r="G262" s="158"/>
      <c r="K262" s="276"/>
      <c r="N262" s="276"/>
      <c r="T262" s="277"/>
      <c r="Z262" s="278"/>
    </row>
    <row r="263" ht="15.75" customHeight="1">
      <c r="D263" s="158"/>
      <c r="G263" s="158"/>
      <c r="K263" s="276"/>
      <c r="N263" s="276"/>
      <c r="T263" s="277"/>
      <c r="Z263" s="278"/>
    </row>
    <row r="264" ht="15.75" customHeight="1">
      <c r="D264" s="158"/>
      <c r="G264" s="158"/>
      <c r="K264" s="276"/>
      <c r="N264" s="276"/>
      <c r="T264" s="277"/>
      <c r="Z264" s="278"/>
    </row>
    <row r="265" ht="15.75" customHeight="1">
      <c r="D265" s="158"/>
      <c r="G265" s="158"/>
      <c r="K265" s="276"/>
      <c r="N265" s="276"/>
      <c r="T265" s="277"/>
      <c r="Z265" s="278"/>
    </row>
    <row r="266" ht="15.75" customHeight="1">
      <c r="D266" s="158"/>
      <c r="G266" s="158"/>
      <c r="K266" s="276"/>
      <c r="N266" s="276"/>
      <c r="T266" s="277"/>
      <c r="Z266" s="278"/>
    </row>
    <row r="267" ht="15.75" customHeight="1">
      <c r="D267" s="158"/>
      <c r="G267" s="158"/>
      <c r="K267" s="276"/>
      <c r="N267" s="276"/>
      <c r="T267" s="277"/>
      <c r="Z267" s="278"/>
    </row>
    <row r="268" ht="15.75" customHeight="1">
      <c r="D268" s="158"/>
      <c r="G268" s="158"/>
      <c r="K268" s="276"/>
      <c r="N268" s="276"/>
      <c r="T268" s="277"/>
      <c r="Z268" s="278"/>
    </row>
    <row r="269" ht="15.75" customHeight="1">
      <c r="D269" s="158"/>
      <c r="G269" s="158"/>
      <c r="K269" s="276"/>
      <c r="N269" s="276"/>
      <c r="T269" s="277"/>
      <c r="Z269" s="278"/>
    </row>
    <row r="270" ht="15.75" customHeight="1">
      <c r="D270" s="158"/>
      <c r="G270" s="158"/>
      <c r="K270" s="276"/>
      <c r="N270" s="276"/>
      <c r="T270" s="277"/>
      <c r="Z270" s="278"/>
    </row>
    <row r="271" ht="15.75" customHeight="1">
      <c r="D271" s="158"/>
      <c r="G271" s="158"/>
      <c r="K271" s="276"/>
      <c r="N271" s="276"/>
      <c r="T271" s="277"/>
      <c r="Z271" s="278"/>
    </row>
    <row r="272" ht="15.75" customHeight="1">
      <c r="D272" s="158"/>
      <c r="G272" s="158"/>
      <c r="K272" s="276"/>
      <c r="N272" s="276"/>
      <c r="T272" s="277"/>
      <c r="Z272" s="278"/>
    </row>
    <row r="273" ht="15.75" customHeight="1">
      <c r="D273" s="158"/>
      <c r="G273" s="158"/>
      <c r="K273" s="276"/>
      <c r="N273" s="276"/>
      <c r="T273" s="277"/>
      <c r="Z273" s="278"/>
    </row>
    <row r="274" ht="15.75" customHeight="1">
      <c r="D274" s="158"/>
      <c r="G274" s="158"/>
      <c r="K274" s="276"/>
      <c r="N274" s="276"/>
      <c r="T274" s="277"/>
      <c r="Z274" s="278"/>
    </row>
    <row r="275" ht="15.75" customHeight="1">
      <c r="D275" s="158"/>
      <c r="G275" s="158"/>
      <c r="K275" s="276"/>
      <c r="N275" s="276"/>
      <c r="T275" s="277"/>
      <c r="Z275" s="278"/>
    </row>
    <row r="276" ht="15.75" customHeight="1">
      <c r="D276" s="158"/>
      <c r="G276" s="158"/>
      <c r="K276" s="276"/>
      <c r="N276" s="276"/>
      <c r="T276" s="277"/>
      <c r="Z276" s="278"/>
    </row>
    <row r="277" ht="15.75" customHeight="1">
      <c r="D277" s="158"/>
      <c r="G277" s="158"/>
      <c r="K277" s="276"/>
      <c r="N277" s="276"/>
      <c r="T277" s="277"/>
      <c r="Z277" s="278"/>
    </row>
    <row r="278" ht="15.75" customHeight="1">
      <c r="D278" s="158"/>
      <c r="G278" s="158"/>
      <c r="K278" s="276"/>
      <c r="N278" s="276"/>
      <c r="T278" s="277"/>
      <c r="Z278" s="278"/>
    </row>
    <row r="279" ht="15.75" customHeight="1">
      <c r="D279" s="158"/>
      <c r="G279" s="158"/>
      <c r="K279" s="276"/>
      <c r="N279" s="276"/>
      <c r="T279" s="277"/>
      <c r="Z279" s="278"/>
    </row>
    <row r="280" ht="15.75" customHeight="1">
      <c r="D280" s="158"/>
      <c r="G280" s="158"/>
      <c r="K280" s="276"/>
      <c r="N280" s="276"/>
      <c r="T280" s="277"/>
      <c r="Z280" s="278"/>
    </row>
    <row r="281" ht="15.75" customHeight="1">
      <c r="D281" s="158"/>
      <c r="G281" s="158"/>
      <c r="K281" s="276"/>
      <c r="N281" s="276"/>
      <c r="T281" s="277"/>
      <c r="Z281" s="278"/>
    </row>
    <row r="282" ht="15.75" customHeight="1">
      <c r="D282" s="158"/>
      <c r="G282" s="158"/>
      <c r="K282" s="276"/>
      <c r="N282" s="276"/>
      <c r="T282" s="277"/>
      <c r="Z282" s="278"/>
    </row>
    <row r="283" ht="15.75" customHeight="1">
      <c r="D283" s="158"/>
      <c r="G283" s="158"/>
      <c r="K283" s="276"/>
      <c r="N283" s="276"/>
      <c r="T283" s="277"/>
      <c r="Z283" s="278"/>
    </row>
    <row r="284" ht="15.75" customHeight="1">
      <c r="D284" s="158"/>
      <c r="G284" s="158"/>
      <c r="K284" s="276"/>
      <c r="N284" s="276"/>
      <c r="T284" s="277"/>
      <c r="Z284" s="278"/>
    </row>
    <row r="285" ht="15.75" customHeight="1">
      <c r="D285" s="158"/>
      <c r="G285" s="158"/>
      <c r="K285" s="276"/>
      <c r="N285" s="276"/>
      <c r="T285" s="277"/>
      <c r="Z285" s="278"/>
    </row>
    <row r="286" ht="15.75" customHeight="1">
      <c r="D286" s="158"/>
      <c r="G286" s="158"/>
      <c r="K286" s="276"/>
      <c r="N286" s="276"/>
      <c r="T286" s="277"/>
      <c r="Z286" s="278"/>
    </row>
    <row r="287" ht="15.75" customHeight="1">
      <c r="D287" s="158"/>
      <c r="G287" s="158"/>
      <c r="K287" s="276"/>
      <c r="N287" s="276"/>
      <c r="T287" s="277"/>
      <c r="Z287" s="278"/>
    </row>
    <row r="288" ht="15.75" customHeight="1">
      <c r="D288" s="158"/>
      <c r="G288" s="158"/>
      <c r="K288" s="276"/>
      <c r="N288" s="276"/>
      <c r="T288" s="277"/>
      <c r="Z288" s="278"/>
    </row>
    <row r="289" ht="15.75" customHeight="1">
      <c r="D289" s="158"/>
      <c r="G289" s="158"/>
      <c r="K289" s="276"/>
      <c r="N289" s="276"/>
      <c r="T289" s="277"/>
      <c r="Z289" s="278"/>
    </row>
    <row r="290" ht="15.75" customHeight="1">
      <c r="D290" s="158"/>
      <c r="G290" s="158"/>
      <c r="K290" s="276"/>
      <c r="N290" s="276"/>
      <c r="T290" s="277"/>
      <c r="Z290" s="278"/>
    </row>
    <row r="291" ht="15.75" customHeight="1">
      <c r="D291" s="158"/>
      <c r="G291" s="158"/>
      <c r="K291" s="276"/>
      <c r="N291" s="276"/>
      <c r="T291" s="277"/>
      <c r="Z291" s="278"/>
    </row>
    <row r="292" ht="15.75" customHeight="1">
      <c r="D292" s="158"/>
      <c r="G292" s="158"/>
      <c r="K292" s="276"/>
      <c r="N292" s="276"/>
      <c r="T292" s="277"/>
      <c r="Z292" s="278"/>
    </row>
    <row r="293" ht="15.75" customHeight="1">
      <c r="D293" s="158"/>
      <c r="G293" s="158"/>
      <c r="K293" s="276"/>
      <c r="N293" s="276"/>
      <c r="T293" s="277"/>
      <c r="Z293" s="278"/>
    </row>
    <row r="294" ht="15.75" customHeight="1">
      <c r="D294" s="158"/>
      <c r="G294" s="158"/>
      <c r="K294" s="276"/>
      <c r="N294" s="276"/>
      <c r="T294" s="277"/>
      <c r="Z294" s="278"/>
    </row>
    <row r="295" ht="15.75" customHeight="1">
      <c r="D295" s="158"/>
      <c r="G295" s="158"/>
      <c r="K295" s="276"/>
      <c r="N295" s="276"/>
      <c r="T295" s="277"/>
      <c r="Z295" s="278"/>
    </row>
    <row r="296" ht="15.75" customHeight="1">
      <c r="D296" s="158"/>
      <c r="G296" s="158"/>
      <c r="K296" s="276"/>
      <c r="N296" s="276"/>
      <c r="T296" s="277"/>
      <c r="Z296" s="278"/>
    </row>
    <row r="297" ht="15.75" customHeight="1">
      <c r="D297" s="158"/>
      <c r="G297" s="158"/>
      <c r="K297" s="276"/>
      <c r="N297" s="276"/>
      <c r="T297" s="277"/>
      <c r="Z297" s="278"/>
    </row>
    <row r="298" ht="15.75" customHeight="1">
      <c r="D298" s="158"/>
      <c r="G298" s="158"/>
      <c r="K298" s="276"/>
      <c r="N298" s="276"/>
      <c r="T298" s="277"/>
      <c r="Z298" s="278"/>
    </row>
    <row r="299" ht="15.75" customHeight="1">
      <c r="D299" s="158"/>
      <c r="G299" s="158"/>
      <c r="K299" s="276"/>
      <c r="N299" s="276"/>
      <c r="T299" s="277"/>
      <c r="Z299" s="278"/>
    </row>
    <row r="300" ht="15.75" customHeight="1">
      <c r="D300" s="158"/>
      <c r="G300" s="158"/>
      <c r="K300" s="276"/>
      <c r="N300" s="276"/>
      <c r="T300" s="277"/>
      <c r="Z300" s="278"/>
    </row>
    <row r="301" ht="15.75" customHeight="1">
      <c r="D301" s="158"/>
      <c r="G301" s="158"/>
      <c r="K301" s="276"/>
      <c r="N301" s="276"/>
      <c r="T301" s="277"/>
      <c r="Z301" s="278"/>
    </row>
    <row r="302" ht="15.75" customHeight="1">
      <c r="D302" s="158"/>
      <c r="G302" s="158"/>
      <c r="K302" s="276"/>
      <c r="N302" s="276"/>
      <c r="T302" s="277"/>
      <c r="Z302" s="278"/>
    </row>
    <row r="303" ht="15.75" customHeight="1">
      <c r="D303" s="158"/>
      <c r="G303" s="158"/>
      <c r="K303" s="276"/>
      <c r="N303" s="276"/>
      <c r="T303" s="277"/>
      <c r="Z303" s="278"/>
    </row>
    <row r="304" ht="15.75" customHeight="1">
      <c r="D304" s="158"/>
      <c r="G304" s="158"/>
      <c r="K304" s="276"/>
      <c r="N304" s="276"/>
      <c r="T304" s="277"/>
      <c r="Z304" s="278"/>
    </row>
    <row r="305" ht="15.75" customHeight="1">
      <c r="D305" s="158"/>
      <c r="G305" s="158"/>
      <c r="K305" s="276"/>
      <c r="N305" s="276"/>
      <c r="T305" s="277"/>
      <c r="Z305" s="278"/>
    </row>
    <row r="306" ht="15.75" customHeight="1">
      <c r="D306" s="158"/>
      <c r="G306" s="158"/>
      <c r="K306" s="276"/>
      <c r="N306" s="276"/>
      <c r="T306" s="277"/>
      <c r="Z306" s="278"/>
    </row>
    <row r="307" ht="15.75" customHeight="1">
      <c r="D307" s="158"/>
      <c r="G307" s="158"/>
      <c r="K307" s="276"/>
      <c r="N307" s="276"/>
      <c r="T307" s="277"/>
      <c r="Z307" s="278"/>
    </row>
    <row r="308" ht="15.75" customHeight="1">
      <c r="D308" s="158"/>
      <c r="G308" s="158"/>
      <c r="K308" s="276"/>
      <c r="N308" s="276"/>
      <c r="T308" s="277"/>
      <c r="Z308" s="278"/>
    </row>
    <row r="309" ht="15.75" customHeight="1">
      <c r="D309" s="158"/>
      <c r="G309" s="158"/>
      <c r="K309" s="276"/>
      <c r="N309" s="276"/>
      <c r="T309" s="277"/>
      <c r="Z309" s="278"/>
    </row>
    <row r="310" ht="15.75" customHeight="1">
      <c r="D310" s="158"/>
      <c r="G310" s="158"/>
      <c r="K310" s="276"/>
      <c r="N310" s="276"/>
      <c r="T310" s="277"/>
      <c r="Z310" s="278"/>
    </row>
    <row r="311" ht="15.75" customHeight="1">
      <c r="D311" s="158"/>
      <c r="G311" s="158"/>
      <c r="K311" s="276"/>
      <c r="N311" s="276"/>
      <c r="T311" s="277"/>
      <c r="Z311" s="278"/>
    </row>
    <row r="312" ht="15.75" customHeight="1">
      <c r="D312" s="158"/>
      <c r="G312" s="158"/>
      <c r="K312" s="276"/>
      <c r="N312" s="276"/>
      <c r="T312" s="277"/>
      <c r="Z312" s="278"/>
    </row>
    <row r="313" ht="15.75" customHeight="1">
      <c r="D313" s="158"/>
      <c r="G313" s="158"/>
      <c r="K313" s="276"/>
      <c r="N313" s="276"/>
      <c r="T313" s="277"/>
      <c r="Z313" s="278"/>
    </row>
    <row r="314" ht="15.75" customHeight="1">
      <c r="D314" s="158"/>
      <c r="G314" s="158"/>
      <c r="K314" s="276"/>
      <c r="N314" s="276"/>
      <c r="T314" s="277"/>
      <c r="Z314" s="278"/>
    </row>
    <row r="315" ht="15.75" customHeight="1">
      <c r="D315" s="158"/>
      <c r="G315" s="158"/>
      <c r="K315" s="276"/>
      <c r="N315" s="276"/>
      <c r="T315" s="277"/>
      <c r="Z315" s="278"/>
    </row>
    <row r="316" ht="15.75" customHeight="1">
      <c r="D316" s="158"/>
      <c r="G316" s="158"/>
      <c r="K316" s="276"/>
      <c r="N316" s="276"/>
      <c r="T316" s="277"/>
      <c r="Z316" s="278"/>
    </row>
    <row r="317" ht="15.75" customHeight="1">
      <c r="D317" s="158"/>
      <c r="G317" s="158"/>
      <c r="K317" s="276"/>
      <c r="N317" s="276"/>
      <c r="T317" s="277"/>
      <c r="Z317" s="278"/>
    </row>
    <row r="318" ht="15.75" customHeight="1">
      <c r="D318" s="158"/>
      <c r="G318" s="158"/>
      <c r="K318" s="276"/>
      <c r="N318" s="276"/>
      <c r="T318" s="277"/>
      <c r="Z318" s="278"/>
    </row>
    <row r="319" ht="15.75" customHeight="1">
      <c r="D319" s="158"/>
      <c r="G319" s="158"/>
      <c r="K319" s="276"/>
      <c r="N319" s="276"/>
      <c r="T319" s="277"/>
      <c r="Z319" s="278"/>
    </row>
    <row r="320" ht="15.75" customHeight="1">
      <c r="D320" s="158"/>
      <c r="G320" s="158"/>
      <c r="K320" s="276"/>
      <c r="N320" s="276"/>
      <c r="T320" s="277"/>
      <c r="Z320" s="278"/>
    </row>
    <row r="321" ht="15.75" customHeight="1">
      <c r="D321" s="158"/>
      <c r="G321" s="158"/>
      <c r="K321" s="276"/>
      <c r="N321" s="276"/>
      <c r="T321" s="277"/>
      <c r="Z321" s="278"/>
    </row>
    <row r="322" ht="15.75" customHeight="1">
      <c r="D322" s="158"/>
      <c r="G322" s="158"/>
      <c r="K322" s="276"/>
      <c r="N322" s="276"/>
      <c r="T322" s="277"/>
      <c r="Z322" s="278"/>
    </row>
    <row r="323" ht="15.75" customHeight="1">
      <c r="D323" s="158"/>
      <c r="G323" s="158"/>
      <c r="K323" s="276"/>
      <c r="N323" s="276"/>
      <c r="T323" s="277"/>
      <c r="Z323" s="278"/>
    </row>
    <row r="324" ht="15.75" customHeight="1">
      <c r="D324" s="158"/>
      <c r="G324" s="158"/>
      <c r="K324" s="276"/>
      <c r="N324" s="276"/>
      <c r="T324" s="277"/>
      <c r="Z324" s="278"/>
    </row>
    <row r="325" ht="15.75" customHeight="1">
      <c r="D325" s="158"/>
      <c r="G325" s="158"/>
      <c r="K325" s="276"/>
      <c r="N325" s="276"/>
      <c r="T325" s="277"/>
      <c r="Z325" s="278"/>
    </row>
    <row r="326" ht="15.75" customHeight="1">
      <c r="D326" s="158"/>
      <c r="G326" s="158"/>
      <c r="K326" s="276"/>
      <c r="N326" s="276"/>
      <c r="T326" s="277"/>
      <c r="Z326" s="278"/>
    </row>
    <row r="327" ht="15.75" customHeight="1">
      <c r="D327" s="158"/>
      <c r="G327" s="158"/>
      <c r="K327" s="276"/>
      <c r="N327" s="276"/>
      <c r="T327" s="277"/>
      <c r="Z327" s="278"/>
    </row>
    <row r="328" ht="15.75" customHeight="1">
      <c r="D328" s="158"/>
      <c r="G328" s="158"/>
      <c r="K328" s="276"/>
      <c r="N328" s="276"/>
      <c r="T328" s="277"/>
      <c r="Z328" s="278"/>
    </row>
    <row r="329" ht="15.75" customHeight="1">
      <c r="D329" s="158"/>
      <c r="G329" s="158"/>
      <c r="K329" s="276"/>
      <c r="N329" s="276"/>
      <c r="T329" s="277"/>
      <c r="Z329" s="278"/>
    </row>
    <row r="330" ht="15.75" customHeight="1">
      <c r="D330" s="158"/>
      <c r="G330" s="158"/>
      <c r="K330" s="276"/>
      <c r="N330" s="276"/>
      <c r="T330" s="277"/>
      <c r="Z330" s="278"/>
    </row>
    <row r="331" ht="15.75" customHeight="1">
      <c r="D331" s="158"/>
      <c r="G331" s="158"/>
      <c r="K331" s="276"/>
      <c r="N331" s="276"/>
      <c r="T331" s="277"/>
      <c r="Z331" s="278"/>
    </row>
    <row r="332" ht="15.75" customHeight="1">
      <c r="D332" s="158"/>
      <c r="G332" s="158"/>
      <c r="K332" s="276"/>
      <c r="N332" s="276"/>
      <c r="T332" s="277"/>
      <c r="Z332" s="278"/>
    </row>
    <row r="333" ht="15.75" customHeight="1">
      <c r="D333" s="158"/>
      <c r="G333" s="158"/>
      <c r="K333" s="276"/>
      <c r="N333" s="276"/>
      <c r="T333" s="277"/>
      <c r="Z333" s="278"/>
    </row>
    <row r="334" ht="15.75" customHeight="1">
      <c r="D334" s="158"/>
      <c r="G334" s="158"/>
      <c r="K334" s="276"/>
      <c r="N334" s="276"/>
      <c r="T334" s="277"/>
      <c r="Z334" s="278"/>
    </row>
    <row r="335" ht="15.75" customHeight="1">
      <c r="D335" s="158"/>
      <c r="G335" s="158"/>
      <c r="K335" s="276"/>
      <c r="N335" s="276"/>
      <c r="T335" s="277"/>
      <c r="Z335" s="278"/>
    </row>
    <row r="336" ht="15.75" customHeight="1">
      <c r="D336" s="158"/>
      <c r="G336" s="158"/>
      <c r="K336" s="276"/>
      <c r="N336" s="276"/>
      <c r="T336" s="277"/>
      <c r="Z336" s="278"/>
    </row>
    <row r="337" ht="15.75" customHeight="1">
      <c r="D337" s="158"/>
      <c r="G337" s="158"/>
      <c r="K337" s="276"/>
      <c r="N337" s="276"/>
      <c r="T337" s="277"/>
      <c r="Z337" s="278"/>
    </row>
    <row r="338" ht="15.75" customHeight="1">
      <c r="D338" s="158"/>
      <c r="G338" s="158"/>
      <c r="K338" s="276"/>
      <c r="N338" s="276"/>
      <c r="T338" s="277"/>
      <c r="Z338" s="278"/>
    </row>
    <row r="339" ht="15.75" customHeight="1">
      <c r="D339" s="158"/>
      <c r="G339" s="158"/>
      <c r="K339" s="276"/>
      <c r="N339" s="276"/>
      <c r="T339" s="277"/>
      <c r="Z339" s="278"/>
    </row>
    <row r="340" ht="15.75" customHeight="1">
      <c r="D340" s="158"/>
      <c r="G340" s="158"/>
      <c r="K340" s="276"/>
      <c r="N340" s="276"/>
      <c r="T340" s="277"/>
      <c r="Z340" s="278"/>
    </row>
    <row r="341" ht="15.75" customHeight="1">
      <c r="D341" s="158"/>
      <c r="G341" s="158"/>
      <c r="K341" s="276"/>
      <c r="N341" s="276"/>
      <c r="T341" s="277"/>
      <c r="Z341" s="278"/>
    </row>
    <row r="342" ht="15.75" customHeight="1">
      <c r="D342" s="158"/>
      <c r="G342" s="158"/>
      <c r="K342" s="276"/>
      <c r="N342" s="276"/>
      <c r="T342" s="277"/>
      <c r="Z342" s="278"/>
    </row>
    <row r="343" ht="15.75" customHeight="1">
      <c r="D343" s="158"/>
      <c r="G343" s="158"/>
      <c r="K343" s="276"/>
      <c r="N343" s="276"/>
      <c r="T343" s="277"/>
      <c r="Z343" s="278"/>
    </row>
    <row r="344" ht="15.75" customHeight="1">
      <c r="D344" s="158"/>
      <c r="G344" s="158"/>
      <c r="K344" s="276"/>
      <c r="N344" s="276"/>
      <c r="T344" s="277"/>
      <c r="Z344" s="278"/>
    </row>
    <row r="345" ht="15.75" customHeight="1">
      <c r="D345" s="158"/>
      <c r="G345" s="158"/>
      <c r="K345" s="276"/>
      <c r="N345" s="276"/>
      <c r="T345" s="277"/>
      <c r="Z345" s="278"/>
    </row>
    <row r="346" ht="15.75" customHeight="1">
      <c r="D346" s="158"/>
      <c r="G346" s="158"/>
      <c r="K346" s="276"/>
      <c r="N346" s="276"/>
      <c r="T346" s="277"/>
      <c r="Z346" s="278"/>
    </row>
    <row r="347" ht="15.75" customHeight="1">
      <c r="D347" s="158"/>
      <c r="G347" s="158"/>
      <c r="K347" s="276"/>
      <c r="N347" s="276"/>
      <c r="T347" s="277"/>
      <c r="Z347" s="278"/>
    </row>
    <row r="348" ht="15.75" customHeight="1">
      <c r="D348" s="158"/>
      <c r="G348" s="158"/>
      <c r="K348" s="276"/>
      <c r="N348" s="276"/>
      <c r="T348" s="277"/>
      <c r="Z348" s="278"/>
    </row>
    <row r="349" ht="15.75" customHeight="1">
      <c r="D349" s="158"/>
      <c r="G349" s="158"/>
      <c r="K349" s="276"/>
      <c r="N349" s="276"/>
      <c r="T349" s="277"/>
      <c r="Z349" s="278"/>
    </row>
    <row r="350" ht="15.75" customHeight="1">
      <c r="D350" s="158"/>
      <c r="G350" s="158"/>
      <c r="K350" s="276"/>
      <c r="N350" s="276"/>
      <c r="T350" s="277"/>
      <c r="Z350" s="278"/>
    </row>
    <row r="351" ht="15.75" customHeight="1">
      <c r="D351" s="158"/>
      <c r="G351" s="158"/>
      <c r="K351" s="276"/>
      <c r="N351" s="276"/>
      <c r="T351" s="277"/>
      <c r="Z351" s="278"/>
    </row>
    <row r="352" ht="15.75" customHeight="1">
      <c r="D352" s="158"/>
      <c r="G352" s="158"/>
      <c r="K352" s="276"/>
      <c r="N352" s="276"/>
      <c r="T352" s="277"/>
      <c r="Z352" s="278"/>
    </row>
    <row r="353" ht="15.75" customHeight="1">
      <c r="D353" s="158"/>
      <c r="G353" s="158"/>
      <c r="K353" s="276"/>
      <c r="N353" s="276"/>
      <c r="T353" s="277"/>
      <c r="Z353" s="278"/>
    </row>
    <row r="354" ht="15.75" customHeight="1">
      <c r="D354" s="158"/>
      <c r="G354" s="158"/>
      <c r="K354" s="276"/>
      <c r="N354" s="276"/>
      <c r="T354" s="277"/>
      <c r="Z354" s="278"/>
    </row>
    <row r="355" ht="15.75" customHeight="1">
      <c r="D355" s="158"/>
      <c r="G355" s="158"/>
      <c r="K355" s="276"/>
      <c r="N355" s="276"/>
      <c r="T355" s="277"/>
      <c r="Z355" s="278"/>
    </row>
    <row r="356" ht="15.75" customHeight="1">
      <c r="D356" s="158"/>
      <c r="G356" s="158"/>
      <c r="K356" s="276"/>
      <c r="N356" s="276"/>
      <c r="T356" s="277"/>
      <c r="Z356" s="278"/>
    </row>
    <row r="357" ht="15.75" customHeight="1">
      <c r="D357" s="158"/>
      <c r="G357" s="158"/>
      <c r="K357" s="276"/>
      <c r="N357" s="276"/>
      <c r="T357" s="277"/>
      <c r="Z357" s="278"/>
    </row>
    <row r="358" ht="15.75" customHeight="1">
      <c r="D358" s="158"/>
      <c r="G358" s="158"/>
      <c r="K358" s="276"/>
      <c r="N358" s="276"/>
      <c r="T358" s="277"/>
      <c r="Z358" s="278"/>
    </row>
    <row r="359" ht="15.75" customHeight="1">
      <c r="D359" s="158"/>
      <c r="G359" s="158"/>
      <c r="K359" s="276"/>
      <c r="N359" s="276"/>
      <c r="T359" s="277"/>
      <c r="Z359" s="278"/>
    </row>
    <row r="360" ht="15.75" customHeight="1">
      <c r="D360" s="158"/>
      <c r="G360" s="158"/>
      <c r="K360" s="276"/>
      <c r="N360" s="276"/>
      <c r="T360" s="277"/>
      <c r="Z360" s="278"/>
    </row>
    <row r="361" ht="15.75" customHeight="1">
      <c r="D361" s="158"/>
      <c r="G361" s="158"/>
      <c r="K361" s="276"/>
      <c r="N361" s="276"/>
      <c r="T361" s="277"/>
      <c r="Z361" s="278"/>
    </row>
    <row r="362" ht="15.75" customHeight="1">
      <c r="D362" s="158"/>
      <c r="G362" s="158"/>
      <c r="K362" s="276"/>
      <c r="N362" s="276"/>
      <c r="T362" s="277"/>
      <c r="Z362" s="278"/>
    </row>
    <row r="363" ht="15.75" customHeight="1">
      <c r="D363" s="158"/>
      <c r="G363" s="158"/>
      <c r="K363" s="276"/>
      <c r="N363" s="276"/>
      <c r="T363" s="277"/>
      <c r="Z363" s="278"/>
    </row>
    <row r="364" ht="15.75" customHeight="1">
      <c r="D364" s="158"/>
      <c r="G364" s="158"/>
      <c r="K364" s="276"/>
      <c r="N364" s="276"/>
      <c r="T364" s="277"/>
      <c r="Z364" s="278"/>
    </row>
    <row r="365" ht="15.75" customHeight="1">
      <c r="D365" s="158"/>
      <c r="G365" s="158"/>
      <c r="K365" s="276"/>
      <c r="N365" s="276"/>
      <c r="T365" s="277"/>
      <c r="Z365" s="278"/>
    </row>
    <row r="366" ht="15.75" customHeight="1">
      <c r="D366" s="158"/>
      <c r="G366" s="158"/>
      <c r="K366" s="276"/>
      <c r="N366" s="276"/>
      <c r="T366" s="277"/>
      <c r="Z366" s="278"/>
    </row>
    <row r="367" ht="15.75" customHeight="1">
      <c r="D367" s="158"/>
      <c r="G367" s="158"/>
      <c r="K367" s="276"/>
      <c r="N367" s="276"/>
      <c r="T367" s="277"/>
      <c r="Z367" s="278"/>
    </row>
    <row r="368" ht="15.75" customHeight="1">
      <c r="D368" s="158"/>
      <c r="G368" s="158"/>
      <c r="K368" s="276"/>
      <c r="N368" s="276"/>
      <c r="T368" s="277"/>
      <c r="Z368" s="278"/>
    </row>
    <row r="369" ht="15.75" customHeight="1">
      <c r="D369" s="158"/>
      <c r="G369" s="158"/>
      <c r="K369" s="276"/>
      <c r="N369" s="276"/>
      <c r="T369" s="277"/>
      <c r="Z369" s="278"/>
    </row>
    <row r="370" ht="15.75" customHeight="1">
      <c r="D370" s="158"/>
      <c r="G370" s="158"/>
      <c r="K370" s="276"/>
      <c r="N370" s="276"/>
      <c r="T370" s="277"/>
      <c r="Z370" s="278"/>
    </row>
    <row r="371" ht="15.75" customHeight="1">
      <c r="D371" s="158"/>
      <c r="G371" s="158"/>
      <c r="K371" s="276"/>
      <c r="N371" s="276"/>
      <c r="T371" s="277"/>
      <c r="Z371" s="278"/>
    </row>
    <row r="372" ht="15.75" customHeight="1">
      <c r="D372" s="158"/>
      <c r="G372" s="158"/>
      <c r="K372" s="276"/>
      <c r="N372" s="276"/>
      <c r="T372" s="277"/>
      <c r="Z372" s="278"/>
    </row>
    <row r="373" ht="15.75" customHeight="1">
      <c r="D373" s="158"/>
      <c r="G373" s="158"/>
      <c r="K373" s="276"/>
      <c r="N373" s="276"/>
      <c r="T373" s="277"/>
      <c r="Z373" s="278"/>
    </row>
    <row r="374" ht="15.75" customHeight="1">
      <c r="D374" s="158"/>
      <c r="G374" s="158"/>
      <c r="K374" s="276"/>
      <c r="N374" s="276"/>
      <c r="T374" s="277"/>
      <c r="Z374" s="278"/>
    </row>
    <row r="375" ht="15.75" customHeight="1">
      <c r="D375" s="158"/>
      <c r="G375" s="158"/>
      <c r="K375" s="276"/>
      <c r="N375" s="276"/>
      <c r="T375" s="277"/>
      <c r="Z375" s="278"/>
    </row>
    <row r="376" ht="15.75" customHeight="1">
      <c r="D376" s="158"/>
      <c r="G376" s="158"/>
      <c r="K376" s="276"/>
      <c r="N376" s="276"/>
      <c r="T376" s="277"/>
      <c r="Z376" s="278"/>
    </row>
    <row r="377" ht="15.75" customHeight="1">
      <c r="D377" s="158"/>
      <c r="G377" s="158"/>
      <c r="K377" s="276"/>
      <c r="N377" s="276"/>
      <c r="T377" s="277"/>
      <c r="Z377" s="278"/>
    </row>
    <row r="378" ht="15.75" customHeight="1">
      <c r="D378" s="158"/>
      <c r="G378" s="158"/>
      <c r="K378" s="276"/>
      <c r="N378" s="276"/>
      <c r="T378" s="277"/>
      <c r="Z378" s="278"/>
    </row>
    <row r="379" ht="15.75" customHeight="1">
      <c r="D379" s="158"/>
      <c r="G379" s="158"/>
      <c r="K379" s="276"/>
      <c r="N379" s="276"/>
      <c r="T379" s="277"/>
      <c r="Z379" s="278"/>
    </row>
    <row r="380" ht="15.75" customHeight="1">
      <c r="D380" s="158"/>
      <c r="G380" s="158"/>
      <c r="K380" s="276"/>
      <c r="N380" s="276"/>
      <c r="T380" s="277"/>
      <c r="Z380" s="278"/>
    </row>
    <row r="381" ht="15.75" customHeight="1">
      <c r="D381" s="158"/>
      <c r="G381" s="158"/>
      <c r="K381" s="276"/>
      <c r="N381" s="276"/>
      <c r="T381" s="277"/>
      <c r="Z381" s="278"/>
    </row>
    <row r="382" ht="15.75" customHeight="1">
      <c r="D382" s="158"/>
      <c r="G382" s="158"/>
      <c r="K382" s="276"/>
      <c r="N382" s="276"/>
      <c r="T382" s="277"/>
      <c r="Z382" s="278"/>
    </row>
    <row r="383" ht="15.75" customHeight="1">
      <c r="D383" s="158"/>
      <c r="G383" s="158"/>
      <c r="K383" s="276"/>
      <c r="N383" s="276"/>
      <c r="T383" s="277"/>
      <c r="Z383" s="278"/>
    </row>
    <row r="384" ht="15.75" customHeight="1">
      <c r="D384" s="158"/>
      <c r="G384" s="158"/>
      <c r="K384" s="276"/>
      <c r="N384" s="276"/>
      <c r="T384" s="277"/>
      <c r="Z384" s="278"/>
    </row>
    <row r="385" ht="15.75" customHeight="1">
      <c r="D385" s="158"/>
      <c r="G385" s="158"/>
      <c r="K385" s="276"/>
      <c r="N385" s="276"/>
      <c r="T385" s="277"/>
      <c r="Z385" s="278"/>
    </row>
    <row r="386" ht="15.75" customHeight="1">
      <c r="D386" s="158"/>
      <c r="G386" s="158"/>
      <c r="K386" s="276"/>
      <c r="N386" s="276"/>
      <c r="T386" s="277"/>
      <c r="Z386" s="278"/>
    </row>
    <row r="387" ht="15.75" customHeight="1">
      <c r="D387" s="158"/>
      <c r="G387" s="158"/>
      <c r="K387" s="276"/>
      <c r="N387" s="276"/>
      <c r="T387" s="277"/>
      <c r="Z387" s="278"/>
    </row>
    <row r="388" ht="15.75" customHeight="1">
      <c r="D388" s="158"/>
      <c r="G388" s="158"/>
      <c r="K388" s="276"/>
      <c r="N388" s="276"/>
      <c r="T388" s="277"/>
      <c r="Z388" s="278"/>
    </row>
    <row r="389" ht="15.75" customHeight="1">
      <c r="D389" s="158"/>
      <c r="G389" s="158"/>
      <c r="K389" s="276"/>
      <c r="N389" s="276"/>
      <c r="T389" s="277"/>
      <c r="Z389" s="278"/>
    </row>
    <row r="390" ht="15.75" customHeight="1">
      <c r="D390" s="158"/>
      <c r="G390" s="158"/>
      <c r="K390" s="276"/>
      <c r="N390" s="276"/>
      <c r="T390" s="277"/>
      <c r="Z390" s="278"/>
    </row>
    <row r="391" ht="15.75" customHeight="1">
      <c r="D391" s="158"/>
      <c r="G391" s="158"/>
      <c r="K391" s="276"/>
      <c r="N391" s="276"/>
      <c r="T391" s="277"/>
      <c r="Z391" s="278"/>
    </row>
    <row r="392" ht="15.75" customHeight="1">
      <c r="D392" s="158"/>
      <c r="G392" s="158"/>
      <c r="K392" s="276"/>
      <c r="N392" s="276"/>
      <c r="T392" s="277"/>
      <c r="Z392" s="278"/>
    </row>
    <row r="393" ht="15.75" customHeight="1">
      <c r="D393" s="158"/>
      <c r="G393" s="158"/>
      <c r="K393" s="276"/>
      <c r="N393" s="276"/>
      <c r="T393" s="277"/>
      <c r="Z393" s="278"/>
    </row>
    <row r="394" ht="15.75" customHeight="1">
      <c r="D394" s="158"/>
      <c r="G394" s="158"/>
      <c r="K394" s="276"/>
      <c r="N394" s="276"/>
      <c r="T394" s="277"/>
      <c r="Z394" s="278"/>
    </row>
    <row r="395" ht="15.75" customHeight="1">
      <c r="D395" s="158"/>
      <c r="G395" s="158"/>
      <c r="K395" s="276"/>
      <c r="N395" s="276"/>
      <c r="T395" s="277"/>
      <c r="Z395" s="278"/>
    </row>
    <row r="396" ht="15.75" customHeight="1">
      <c r="D396" s="158"/>
      <c r="G396" s="158"/>
      <c r="K396" s="276"/>
      <c r="N396" s="276"/>
      <c r="T396" s="277"/>
      <c r="Z396" s="278"/>
    </row>
    <row r="397" ht="15.75" customHeight="1">
      <c r="D397" s="158"/>
      <c r="G397" s="158"/>
      <c r="K397" s="276"/>
      <c r="N397" s="276"/>
      <c r="T397" s="277"/>
      <c r="Z397" s="278"/>
    </row>
    <row r="398" ht="15.75" customHeight="1">
      <c r="D398" s="158"/>
      <c r="G398" s="158"/>
      <c r="K398" s="276"/>
      <c r="N398" s="276"/>
      <c r="T398" s="277"/>
      <c r="Z398" s="278"/>
    </row>
    <row r="399" ht="15.75" customHeight="1">
      <c r="D399" s="158"/>
      <c r="G399" s="158"/>
      <c r="K399" s="276"/>
      <c r="N399" s="276"/>
      <c r="T399" s="277"/>
      <c r="Z399" s="278"/>
    </row>
    <row r="400" ht="15.75" customHeight="1">
      <c r="D400" s="158"/>
      <c r="G400" s="158"/>
      <c r="K400" s="276"/>
      <c r="N400" s="276"/>
      <c r="T400" s="277"/>
      <c r="Z400" s="278"/>
    </row>
    <row r="401" ht="15.75" customHeight="1">
      <c r="D401" s="158"/>
      <c r="G401" s="158"/>
      <c r="K401" s="276"/>
      <c r="N401" s="276"/>
      <c r="T401" s="277"/>
      <c r="Z401" s="278"/>
    </row>
    <row r="402" ht="15.75" customHeight="1">
      <c r="D402" s="158"/>
      <c r="G402" s="158"/>
      <c r="K402" s="276"/>
      <c r="N402" s="276"/>
      <c r="T402" s="277"/>
      <c r="Z402" s="278"/>
    </row>
    <row r="403" ht="15.75" customHeight="1">
      <c r="D403" s="158"/>
      <c r="G403" s="158"/>
      <c r="K403" s="276"/>
      <c r="N403" s="276"/>
      <c r="T403" s="277"/>
      <c r="Z403" s="278"/>
    </row>
    <row r="404" ht="15.75" customHeight="1">
      <c r="D404" s="158"/>
      <c r="G404" s="158"/>
      <c r="K404" s="276"/>
      <c r="N404" s="276"/>
      <c r="T404" s="277"/>
      <c r="Z404" s="278"/>
    </row>
    <row r="405" ht="15.75" customHeight="1">
      <c r="D405" s="158"/>
      <c r="G405" s="158"/>
      <c r="K405" s="276"/>
      <c r="N405" s="276"/>
      <c r="T405" s="277"/>
      <c r="Z405" s="278"/>
    </row>
    <row r="406" ht="15.75" customHeight="1">
      <c r="D406" s="158"/>
      <c r="G406" s="158"/>
      <c r="K406" s="276"/>
      <c r="N406" s="276"/>
      <c r="T406" s="277"/>
      <c r="Z406" s="278"/>
    </row>
    <row r="407" ht="15.75" customHeight="1">
      <c r="D407" s="158"/>
      <c r="G407" s="158"/>
      <c r="K407" s="276"/>
      <c r="N407" s="276"/>
      <c r="T407" s="277"/>
      <c r="Z407" s="278"/>
    </row>
    <row r="408" ht="15.75" customHeight="1">
      <c r="D408" s="158"/>
      <c r="G408" s="158"/>
      <c r="K408" s="276"/>
      <c r="N408" s="276"/>
      <c r="T408" s="277"/>
      <c r="Z408" s="278"/>
    </row>
    <row r="409" ht="15.75" customHeight="1">
      <c r="D409" s="158"/>
      <c r="G409" s="158"/>
      <c r="K409" s="276"/>
      <c r="N409" s="276"/>
      <c r="T409" s="277"/>
      <c r="Z409" s="278"/>
    </row>
    <row r="410" ht="15.75" customHeight="1">
      <c r="D410" s="158"/>
      <c r="G410" s="158"/>
      <c r="K410" s="276"/>
      <c r="N410" s="276"/>
      <c r="T410" s="277"/>
      <c r="Z410" s="278"/>
    </row>
    <row r="411" ht="15.75" customHeight="1">
      <c r="D411" s="158"/>
      <c r="G411" s="158"/>
      <c r="K411" s="276"/>
      <c r="N411" s="276"/>
      <c r="T411" s="277"/>
      <c r="Z411" s="278"/>
    </row>
    <row r="412" ht="15.75" customHeight="1">
      <c r="D412" s="158"/>
      <c r="G412" s="158"/>
      <c r="K412" s="276"/>
      <c r="N412" s="276"/>
      <c r="T412" s="277"/>
      <c r="Z412" s="278"/>
    </row>
    <row r="413" ht="15.75" customHeight="1">
      <c r="D413" s="158"/>
      <c r="G413" s="158"/>
      <c r="K413" s="276"/>
      <c r="N413" s="276"/>
      <c r="T413" s="277"/>
      <c r="Z413" s="278"/>
    </row>
    <row r="414" ht="15.75" customHeight="1">
      <c r="D414" s="158"/>
      <c r="G414" s="158"/>
      <c r="K414" s="276"/>
      <c r="N414" s="276"/>
      <c r="T414" s="277"/>
      <c r="Z414" s="278"/>
    </row>
    <row r="415" ht="15.75" customHeight="1">
      <c r="D415" s="158"/>
      <c r="G415" s="158"/>
      <c r="K415" s="276"/>
      <c r="N415" s="276"/>
      <c r="T415" s="277"/>
      <c r="Z415" s="278"/>
    </row>
    <row r="416" ht="15.75" customHeight="1">
      <c r="D416" s="158"/>
      <c r="G416" s="158"/>
      <c r="K416" s="276"/>
      <c r="N416" s="276"/>
      <c r="T416" s="277"/>
      <c r="Z416" s="278"/>
    </row>
    <row r="417" ht="15.75" customHeight="1">
      <c r="D417" s="158"/>
      <c r="G417" s="158"/>
      <c r="K417" s="276"/>
      <c r="N417" s="276"/>
      <c r="T417" s="277"/>
      <c r="Z417" s="278"/>
    </row>
    <row r="418" ht="15.75" customHeight="1">
      <c r="D418" s="158"/>
      <c r="G418" s="158"/>
      <c r="K418" s="276"/>
      <c r="N418" s="276"/>
      <c r="T418" s="277"/>
      <c r="Z418" s="278"/>
    </row>
    <row r="419" ht="15.75" customHeight="1">
      <c r="D419" s="158"/>
      <c r="G419" s="158"/>
      <c r="K419" s="276"/>
      <c r="N419" s="276"/>
      <c r="T419" s="277"/>
      <c r="Z419" s="278"/>
    </row>
    <row r="420" ht="15.75" customHeight="1">
      <c r="D420" s="158"/>
      <c r="G420" s="158"/>
      <c r="K420" s="276"/>
      <c r="N420" s="276"/>
      <c r="T420" s="277"/>
      <c r="Z420" s="278"/>
    </row>
    <row r="421" ht="15.75" customHeight="1">
      <c r="D421" s="158"/>
      <c r="G421" s="158"/>
      <c r="K421" s="276"/>
      <c r="N421" s="276"/>
      <c r="T421" s="277"/>
      <c r="Z421" s="278"/>
    </row>
    <row r="422" ht="15.75" customHeight="1">
      <c r="D422" s="158"/>
      <c r="G422" s="158"/>
      <c r="K422" s="276"/>
      <c r="N422" s="276"/>
      <c r="T422" s="277"/>
      <c r="Z422" s="278"/>
    </row>
    <row r="423" ht="15.75" customHeight="1">
      <c r="D423" s="158"/>
      <c r="G423" s="158"/>
      <c r="K423" s="276"/>
      <c r="N423" s="276"/>
      <c r="T423" s="277"/>
      <c r="Z423" s="278"/>
    </row>
    <row r="424" ht="15.75" customHeight="1">
      <c r="D424" s="158"/>
      <c r="G424" s="158"/>
      <c r="K424" s="276"/>
      <c r="N424" s="276"/>
      <c r="T424" s="277"/>
      <c r="Z424" s="278"/>
    </row>
    <row r="425" ht="15.75" customHeight="1">
      <c r="D425" s="158"/>
      <c r="G425" s="158"/>
      <c r="K425" s="276"/>
      <c r="N425" s="276"/>
      <c r="T425" s="277"/>
      <c r="Z425" s="278"/>
    </row>
    <row r="426" ht="15.75" customHeight="1">
      <c r="D426" s="158"/>
      <c r="G426" s="158"/>
      <c r="K426" s="276"/>
      <c r="N426" s="276"/>
      <c r="T426" s="277"/>
      <c r="Z426" s="278"/>
    </row>
    <row r="427" ht="15.75" customHeight="1">
      <c r="D427" s="158"/>
      <c r="G427" s="158"/>
      <c r="K427" s="276"/>
      <c r="N427" s="276"/>
      <c r="T427" s="277"/>
      <c r="Z427" s="278"/>
    </row>
    <row r="428" ht="15.75" customHeight="1">
      <c r="D428" s="158"/>
      <c r="G428" s="158"/>
      <c r="K428" s="276"/>
      <c r="N428" s="276"/>
      <c r="T428" s="277"/>
      <c r="Z428" s="278"/>
    </row>
    <row r="429" ht="15.75" customHeight="1">
      <c r="D429" s="158"/>
      <c r="G429" s="158"/>
      <c r="K429" s="276"/>
      <c r="N429" s="276"/>
      <c r="T429" s="277"/>
      <c r="Z429" s="278"/>
    </row>
    <row r="430" ht="15.75" customHeight="1">
      <c r="D430" s="158"/>
      <c r="G430" s="158"/>
      <c r="K430" s="276"/>
      <c r="N430" s="276"/>
      <c r="T430" s="277"/>
      <c r="Z430" s="278"/>
    </row>
    <row r="431" ht="15.75" customHeight="1">
      <c r="D431" s="158"/>
      <c r="G431" s="158"/>
      <c r="K431" s="276"/>
      <c r="N431" s="276"/>
      <c r="T431" s="277"/>
      <c r="Z431" s="278"/>
    </row>
    <row r="432" ht="15.75" customHeight="1">
      <c r="D432" s="158"/>
      <c r="G432" s="158"/>
      <c r="K432" s="276"/>
      <c r="N432" s="276"/>
      <c r="T432" s="277"/>
      <c r="Z432" s="278"/>
    </row>
    <row r="433" ht="15.75" customHeight="1">
      <c r="D433" s="158"/>
      <c r="G433" s="158"/>
      <c r="K433" s="276"/>
      <c r="N433" s="276"/>
      <c r="T433" s="277"/>
      <c r="Z433" s="278"/>
    </row>
    <row r="434" ht="15.75" customHeight="1">
      <c r="D434" s="158"/>
      <c r="G434" s="158"/>
      <c r="K434" s="276"/>
      <c r="N434" s="276"/>
      <c r="T434" s="277"/>
      <c r="Z434" s="278"/>
    </row>
    <row r="435" ht="15.75" customHeight="1">
      <c r="D435" s="158"/>
      <c r="G435" s="158"/>
      <c r="K435" s="276"/>
      <c r="N435" s="276"/>
      <c r="T435" s="277"/>
      <c r="Z435" s="278"/>
    </row>
    <row r="436" ht="15.75" customHeight="1">
      <c r="D436" s="158"/>
      <c r="G436" s="158"/>
      <c r="K436" s="276"/>
      <c r="N436" s="276"/>
      <c r="T436" s="277"/>
      <c r="Z436" s="278"/>
    </row>
    <row r="437" ht="15.75" customHeight="1">
      <c r="D437" s="158"/>
      <c r="G437" s="158"/>
      <c r="K437" s="276"/>
      <c r="N437" s="276"/>
      <c r="T437" s="277"/>
      <c r="Z437" s="278"/>
    </row>
    <row r="438" ht="15.75" customHeight="1">
      <c r="D438" s="158"/>
      <c r="G438" s="158"/>
      <c r="K438" s="276"/>
      <c r="N438" s="276"/>
      <c r="T438" s="277"/>
      <c r="Z438" s="278"/>
    </row>
    <row r="439" ht="15.75" customHeight="1">
      <c r="D439" s="158"/>
      <c r="G439" s="158"/>
      <c r="K439" s="276"/>
      <c r="N439" s="276"/>
      <c r="T439" s="277"/>
      <c r="Z439" s="278"/>
    </row>
    <row r="440" ht="15.75" customHeight="1">
      <c r="D440" s="158"/>
      <c r="G440" s="158"/>
      <c r="K440" s="276"/>
      <c r="N440" s="276"/>
      <c r="T440" s="277"/>
      <c r="Z440" s="278"/>
    </row>
    <row r="441" ht="15.75" customHeight="1">
      <c r="D441" s="158"/>
      <c r="G441" s="158"/>
      <c r="K441" s="276"/>
      <c r="N441" s="276"/>
      <c r="T441" s="277"/>
      <c r="Z441" s="278"/>
    </row>
    <row r="442" ht="15.75" customHeight="1">
      <c r="D442" s="158"/>
      <c r="G442" s="158"/>
      <c r="K442" s="276"/>
      <c r="N442" s="276"/>
      <c r="T442" s="277"/>
      <c r="Z442" s="278"/>
    </row>
    <row r="443" ht="15.75" customHeight="1">
      <c r="D443" s="158"/>
      <c r="G443" s="158"/>
      <c r="K443" s="276"/>
      <c r="N443" s="276"/>
      <c r="T443" s="277"/>
      <c r="Z443" s="278"/>
    </row>
    <row r="444" ht="15.75" customHeight="1">
      <c r="D444" s="158"/>
      <c r="G444" s="158"/>
      <c r="K444" s="276"/>
      <c r="N444" s="276"/>
      <c r="T444" s="277"/>
      <c r="Z444" s="278"/>
    </row>
    <row r="445" ht="15.75" customHeight="1">
      <c r="D445" s="158"/>
      <c r="G445" s="158"/>
      <c r="K445" s="276"/>
      <c r="N445" s="276"/>
      <c r="T445" s="277"/>
      <c r="Z445" s="278"/>
    </row>
    <row r="446" ht="15.75" customHeight="1">
      <c r="D446" s="158"/>
      <c r="G446" s="158"/>
      <c r="K446" s="276"/>
      <c r="N446" s="276"/>
      <c r="T446" s="277"/>
      <c r="Z446" s="278"/>
    </row>
    <row r="447" ht="15.75" customHeight="1">
      <c r="D447" s="158"/>
      <c r="G447" s="158"/>
      <c r="K447" s="276"/>
      <c r="N447" s="276"/>
      <c r="T447" s="277"/>
      <c r="Z447" s="278"/>
    </row>
    <row r="448" ht="15.75" customHeight="1">
      <c r="D448" s="158"/>
      <c r="G448" s="158"/>
      <c r="K448" s="276"/>
      <c r="N448" s="276"/>
      <c r="T448" s="277"/>
      <c r="Z448" s="278"/>
    </row>
    <row r="449" ht="15.75" customHeight="1">
      <c r="D449" s="158"/>
      <c r="G449" s="158"/>
      <c r="K449" s="276"/>
      <c r="N449" s="276"/>
      <c r="T449" s="277"/>
      <c r="Z449" s="278"/>
    </row>
    <row r="450" ht="15.75" customHeight="1">
      <c r="D450" s="158"/>
      <c r="G450" s="158"/>
      <c r="K450" s="276"/>
      <c r="N450" s="276"/>
      <c r="T450" s="277"/>
      <c r="Z450" s="278"/>
    </row>
    <row r="451" ht="15.75" customHeight="1">
      <c r="D451" s="158"/>
      <c r="G451" s="158"/>
      <c r="K451" s="276"/>
      <c r="N451" s="276"/>
      <c r="T451" s="277"/>
      <c r="Z451" s="278"/>
    </row>
    <row r="452" ht="15.75" customHeight="1">
      <c r="D452" s="158"/>
      <c r="G452" s="158"/>
      <c r="K452" s="276"/>
      <c r="N452" s="276"/>
      <c r="T452" s="277"/>
      <c r="Z452" s="278"/>
    </row>
    <row r="453" ht="15.75" customHeight="1">
      <c r="D453" s="158"/>
      <c r="G453" s="158"/>
      <c r="K453" s="276"/>
      <c r="N453" s="276"/>
      <c r="T453" s="277"/>
      <c r="Z453" s="278"/>
    </row>
    <row r="454" ht="15.75" customHeight="1">
      <c r="D454" s="158"/>
      <c r="G454" s="158"/>
      <c r="K454" s="276"/>
      <c r="N454" s="276"/>
      <c r="T454" s="277"/>
      <c r="Z454" s="278"/>
    </row>
    <row r="455" ht="15.75" customHeight="1">
      <c r="D455" s="158"/>
      <c r="G455" s="158"/>
      <c r="K455" s="276"/>
      <c r="N455" s="276"/>
      <c r="T455" s="277"/>
      <c r="Z455" s="278"/>
    </row>
    <row r="456" ht="15.75" customHeight="1">
      <c r="D456" s="158"/>
      <c r="G456" s="158"/>
      <c r="K456" s="276"/>
      <c r="N456" s="276"/>
      <c r="T456" s="277"/>
      <c r="Z456" s="278"/>
    </row>
    <row r="457" ht="15.75" customHeight="1">
      <c r="D457" s="158"/>
      <c r="G457" s="158"/>
      <c r="K457" s="276"/>
      <c r="N457" s="276"/>
      <c r="T457" s="277"/>
      <c r="Z457" s="278"/>
    </row>
    <row r="458" ht="15.75" customHeight="1">
      <c r="D458" s="158"/>
      <c r="G458" s="158"/>
      <c r="K458" s="276"/>
      <c r="N458" s="276"/>
      <c r="T458" s="277"/>
      <c r="Z458" s="278"/>
    </row>
    <row r="459" ht="15.75" customHeight="1">
      <c r="D459" s="158"/>
      <c r="G459" s="158"/>
      <c r="K459" s="276"/>
      <c r="N459" s="276"/>
      <c r="T459" s="277"/>
      <c r="Z459" s="278"/>
    </row>
    <row r="460" ht="15.75" customHeight="1">
      <c r="D460" s="158"/>
      <c r="G460" s="158"/>
      <c r="K460" s="276"/>
      <c r="N460" s="276"/>
      <c r="T460" s="277"/>
      <c r="Z460" s="278"/>
    </row>
    <row r="461" ht="15.75" customHeight="1">
      <c r="D461" s="158"/>
      <c r="G461" s="158"/>
      <c r="K461" s="276"/>
      <c r="N461" s="276"/>
      <c r="T461" s="277"/>
      <c r="Z461" s="278"/>
    </row>
    <row r="462" ht="15.75" customHeight="1">
      <c r="D462" s="158"/>
      <c r="G462" s="158"/>
      <c r="K462" s="276"/>
      <c r="N462" s="276"/>
      <c r="T462" s="277"/>
      <c r="Z462" s="278"/>
    </row>
    <row r="463" ht="15.75" customHeight="1">
      <c r="D463" s="158"/>
      <c r="G463" s="158"/>
      <c r="K463" s="276"/>
      <c r="N463" s="276"/>
      <c r="T463" s="277"/>
      <c r="Z463" s="278"/>
    </row>
    <row r="464" ht="15.75" customHeight="1">
      <c r="D464" s="158"/>
      <c r="G464" s="158"/>
      <c r="K464" s="276"/>
      <c r="N464" s="276"/>
      <c r="T464" s="277"/>
      <c r="Z464" s="278"/>
    </row>
    <row r="465" ht="15.75" customHeight="1">
      <c r="D465" s="158"/>
      <c r="G465" s="158"/>
      <c r="K465" s="276"/>
      <c r="N465" s="276"/>
      <c r="T465" s="277"/>
      <c r="Z465" s="278"/>
    </row>
    <row r="466" ht="15.75" customHeight="1">
      <c r="D466" s="158"/>
      <c r="G466" s="158"/>
      <c r="K466" s="276"/>
      <c r="N466" s="276"/>
      <c r="T466" s="277"/>
      <c r="Z466" s="278"/>
    </row>
    <row r="467" ht="15.75" customHeight="1">
      <c r="D467" s="158"/>
      <c r="G467" s="158"/>
      <c r="K467" s="276"/>
      <c r="N467" s="276"/>
      <c r="T467" s="277"/>
      <c r="Z467" s="278"/>
    </row>
    <row r="468" ht="15.75" customHeight="1">
      <c r="D468" s="158"/>
      <c r="G468" s="158"/>
      <c r="K468" s="276"/>
      <c r="N468" s="276"/>
      <c r="T468" s="277"/>
      <c r="Z468" s="278"/>
    </row>
    <row r="469" ht="15.75" customHeight="1">
      <c r="D469" s="158"/>
      <c r="G469" s="158"/>
      <c r="K469" s="276"/>
      <c r="N469" s="276"/>
      <c r="T469" s="277"/>
      <c r="Z469" s="278"/>
    </row>
    <row r="470" ht="15.75" customHeight="1">
      <c r="D470" s="158"/>
      <c r="G470" s="158"/>
      <c r="K470" s="276"/>
      <c r="N470" s="276"/>
      <c r="T470" s="277"/>
      <c r="Z470" s="278"/>
    </row>
    <row r="471" ht="15.75" customHeight="1">
      <c r="D471" s="158"/>
      <c r="G471" s="158"/>
      <c r="K471" s="276"/>
      <c r="N471" s="276"/>
      <c r="T471" s="277"/>
      <c r="Z471" s="278"/>
    </row>
    <row r="472" ht="15.75" customHeight="1">
      <c r="D472" s="158"/>
      <c r="G472" s="158"/>
      <c r="K472" s="276"/>
      <c r="N472" s="276"/>
      <c r="T472" s="277"/>
      <c r="Z472" s="278"/>
    </row>
    <row r="473" ht="15.75" customHeight="1">
      <c r="D473" s="158"/>
      <c r="G473" s="158"/>
      <c r="K473" s="276"/>
      <c r="N473" s="276"/>
      <c r="T473" s="277"/>
      <c r="Z473" s="278"/>
    </row>
    <row r="474" ht="15.75" customHeight="1">
      <c r="D474" s="158"/>
      <c r="G474" s="158"/>
      <c r="K474" s="276"/>
      <c r="N474" s="276"/>
      <c r="T474" s="277"/>
      <c r="Z474" s="278"/>
    </row>
    <row r="475" ht="15.75" customHeight="1">
      <c r="D475" s="158"/>
      <c r="G475" s="158"/>
      <c r="K475" s="276"/>
      <c r="N475" s="276"/>
      <c r="T475" s="277"/>
      <c r="Z475" s="278"/>
    </row>
    <row r="476" ht="15.75" customHeight="1">
      <c r="D476" s="158"/>
      <c r="G476" s="158"/>
      <c r="K476" s="276"/>
      <c r="N476" s="276"/>
      <c r="T476" s="277"/>
      <c r="Z476" s="278"/>
    </row>
    <row r="477" ht="15.75" customHeight="1">
      <c r="D477" s="158"/>
      <c r="G477" s="158"/>
      <c r="K477" s="276"/>
      <c r="N477" s="276"/>
      <c r="T477" s="277"/>
      <c r="Z477" s="278"/>
    </row>
    <row r="478" ht="15.75" customHeight="1">
      <c r="D478" s="158"/>
      <c r="G478" s="158"/>
      <c r="K478" s="276"/>
      <c r="N478" s="276"/>
      <c r="T478" s="277"/>
      <c r="Z478" s="278"/>
    </row>
    <row r="479" ht="15.75" customHeight="1">
      <c r="D479" s="158"/>
      <c r="G479" s="158"/>
      <c r="K479" s="276"/>
      <c r="N479" s="276"/>
      <c r="T479" s="277"/>
      <c r="Z479" s="278"/>
    </row>
    <row r="480" ht="15.75" customHeight="1">
      <c r="D480" s="158"/>
      <c r="G480" s="158"/>
      <c r="K480" s="276"/>
      <c r="N480" s="276"/>
      <c r="T480" s="277"/>
      <c r="Z480" s="278"/>
    </row>
    <row r="481" ht="15.75" customHeight="1">
      <c r="D481" s="158"/>
      <c r="G481" s="158"/>
      <c r="K481" s="276"/>
      <c r="N481" s="276"/>
      <c r="T481" s="277"/>
      <c r="Z481" s="278"/>
    </row>
    <row r="482" ht="15.75" customHeight="1">
      <c r="D482" s="158"/>
      <c r="G482" s="158"/>
      <c r="K482" s="276"/>
      <c r="N482" s="276"/>
      <c r="T482" s="277"/>
      <c r="Z482" s="278"/>
    </row>
    <row r="483" ht="15.75" customHeight="1">
      <c r="D483" s="158"/>
      <c r="G483" s="158"/>
      <c r="K483" s="276"/>
      <c r="N483" s="276"/>
      <c r="T483" s="277"/>
      <c r="Z483" s="278"/>
    </row>
    <row r="484" ht="15.75" customHeight="1">
      <c r="D484" s="158"/>
      <c r="G484" s="158"/>
      <c r="K484" s="276"/>
      <c r="N484" s="276"/>
      <c r="T484" s="277"/>
      <c r="Z484" s="278"/>
    </row>
    <row r="485" ht="15.75" customHeight="1">
      <c r="D485" s="158"/>
      <c r="G485" s="158"/>
      <c r="K485" s="276"/>
      <c r="N485" s="276"/>
      <c r="T485" s="277"/>
      <c r="Z485" s="278"/>
    </row>
    <row r="486" ht="15.75" customHeight="1">
      <c r="D486" s="158"/>
      <c r="G486" s="158"/>
      <c r="K486" s="276"/>
      <c r="N486" s="276"/>
      <c r="T486" s="277"/>
      <c r="Z486" s="278"/>
    </row>
    <row r="487" ht="15.75" customHeight="1">
      <c r="D487" s="158"/>
      <c r="G487" s="158"/>
      <c r="K487" s="276"/>
      <c r="N487" s="276"/>
      <c r="T487" s="277"/>
      <c r="Z487" s="278"/>
    </row>
    <row r="488" ht="15.75" customHeight="1">
      <c r="D488" s="158"/>
      <c r="G488" s="158"/>
      <c r="K488" s="276"/>
      <c r="N488" s="276"/>
      <c r="T488" s="277"/>
      <c r="Z488" s="278"/>
    </row>
    <row r="489" ht="15.75" customHeight="1">
      <c r="D489" s="158"/>
      <c r="G489" s="158"/>
      <c r="K489" s="276"/>
      <c r="N489" s="276"/>
      <c r="T489" s="277"/>
      <c r="Z489" s="278"/>
    </row>
    <row r="490" ht="15.75" customHeight="1">
      <c r="D490" s="158"/>
      <c r="G490" s="158"/>
      <c r="K490" s="276"/>
      <c r="N490" s="276"/>
      <c r="T490" s="277"/>
      <c r="Z490" s="278"/>
    </row>
    <row r="491" ht="15.75" customHeight="1">
      <c r="D491" s="158"/>
      <c r="G491" s="158"/>
      <c r="K491" s="276"/>
      <c r="N491" s="276"/>
      <c r="T491" s="277"/>
      <c r="Z491" s="278"/>
    </row>
    <row r="492" ht="15.75" customHeight="1">
      <c r="D492" s="158"/>
      <c r="G492" s="158"/>
      <c r="K492" s="276"/>
      <c r="N492" s="276"/>
      <c r="T492" s="277"/>
      <c r="Z492" s="278"/>
    </row>
    <row r="493" ht="15.75" customHeight="1">
      <c r="D493" s="158"/>
      <c r="G493" s="158"/>
      <c r="K493" s="276"/>
      <c r="N493" s="276"/>
      <c r="T493" s="277"/>
      <c r="Z493" s="278"/>
    </row>
    <row r="494" ht="15.75" customHeight="1">
      <c r="D494" s="158"/>
      <c r="G494" s="158"/>
      <c r="K494" s="276"/>
      <c r="N494" s="276"/>
      <c r="T494" s="277"/>
      <c r="Z494" s="278"/>
    </row>
    <row r="495" ht="15.75" customHeight="1">
      <c r="D495" s="158"/>
      <c r="G495" s="158"/>
      <c r="K495" s="276"/>
      <c r="N495" s="276"/>
      <c r="T495" s="277"/>
      <c r="Z495" s="278"/>
    </row>
    <row r="496" ht="15.75" customHeight="1">
      <c r="D496" s="158"/>
      <c r="G496" s="158"/>
      <c r="K496" s="276"/>
      <c r="N496" s="276"/>
      <c r="T496" s="277"/>
      <c r="Z496" s="278"/>
    </row>
    <row r="497" ht="15.75" customHeight="1">
      <c r="D497" s="158"/>
      <c r="G497" s="158"/>
      <c r="K497" s="276"/>
      <c r="N497" s="276"/>
      <c r="T497" s="277"/>
      <c r="Z497" s="278"/>
    </row>
    <row r="498" ht="15.75" customHeight="1">
      <c r="D498" s="158"/>
      <c r="G498" s="158"/>
      <c r="K498" s="276"/>
      <c r="N498" s="276"/>
      <c r="T498" s="277"/>
      <c r="Z498" s="278"/>
    </row>
    <row r="499" ht="15.75" customHeight="1">
      <c r="D499" s="158"/>
      <c r="G499" s="158"/>
      <c r="K499" s="276"/>
      <c r="N499" s="276"/>
      <c r="T499" s="277"/>
      <c r="Z499" s="278"/>
    </row>
    <row r="500" ht="15.75" customHeight="1">
      <c r="D500" s="158"/>
      <c r="G500" s="158"/>
      <c r="K500" s="276"/>
      <c r="N500" s="276"/>
      <c r="T500" s="277"/>
      <c r="Z500" s="278"/>
    </row>
    <row r="501" ht="15.75" customHeight="1">
      <c r="D501" s="158"/>
      <c r="G501" s="158"/>
      <c r="K501" s="276"/>
      <c r="N501" s="276"/>
      <c r="T501" s="277"/>
      <c r="Z501" s="278"/>
    </row>
    <row r="502" ht="15.75" customHeight="1">
      <c r="D502" s="158"/>
      <c r="G502" s="158"/>
      <c r="K502" s="276"/>
      <c r="N502" s="276"/>
      <c r="T502" s="277"/>
      <c r="Z502" s="278"/>
    </row>
    <row r="503" ht="15.75" customHeight="1">
      <c r="D503" s="158"/>
      <c r="G503" s="158"/>
      <c r="K503" s="276"/>
      <c r="N503" s="276"/>
      <c r="T503" s="277"/>
      <c r="Z503" s="278"/>
    </row>
    <row r="504" ht="15.75" customHeight="1">
      <c r="D504" s="158"/>
      <c r="G504" s="158"/>
      <c r="K504" s="276"/>
      <c r="N504" s="276"/>
      <c r="T504" s="277"/>
      <c r="Z504" s="278"/>
    </row>
    <row r="505" ht="15.75" customHeight="1">
      <c r="D505" s="158"/>
      <c r="G505" s="158"/>
      <c r="K505" s="276"/>
      <c r="N505" s="276"/>
      <c r="T505" s="277"/>
      <c r="Z505" s="278"/>
    </row>
    <row r="506" ht="15.75" customHeight="1">
      <c r="D506" s="158"/>
      <c r="G506" s="158"/>
      <c r="K506" s="276"/>
      <c r="N506" s="276"/>
      <c r="T506" s="277"/>
      <c r="Z506" s="278"/>
    </row>
    <row r="507" ht="15.75" customHeight="1">
      <c r="D507" s="158"/>
      <c r="G507" s="158"/>
      <c r="K507" s="276"/>
      <c r="N507" s="276"/>
      <c r="T507" s="277"/>
      <c r="Z507" s="278"/>
    </row>
    <row r="508" ht="15.75" customHeight="1">
      <c r="D508" s="158"/>
      <c r="G508" s="158"/>
      <c r="K508" s="276"/>
      <c r="N508" s="276"/>
      <c r="T508" s="277"/>
      <c r="Z508" s="278"/>
    </row>
    <row r="509" ht="15.75" customHeight="1">
      <c r="D509" s="158"/>
      <c r="G509" s="158"/>
      <c r="K509" s="276"/>
      <c r="N509" s="276"/>
      <c r="T509" s="277"/>
      <c r="Z509" s="278"/>
    </row>
    <row r="510" ht="15.75" customHeight="1">
      <c r="D510" s="158"/>
      <c r="G510" s="158"/>
      <c r="K510" s="276"/>
      <c r="N510" s="276"/>
      <c r="T510" s="277"/>
      <c r="Z510" s="278"/>
    </row>
    <row r="511" ht="15.75" customHeight="1">
      <c r="D511" s="158"/>
      <c r="G511" s="158"/>
      <c r="K511" s="276"/>
      <c r="N511" s="276"/>
      <c r="T511" s="277"/>
      <c r="Z511" s="278"/>
    </row>
    <row r="512" ht="15.75" customHeight="1">
      <c r="D512" s="158"/>
      <c r="G512" s="158"/>
      <c r="K512" s="276"/>
      <c r="N512" s="276"/>
      <c r="T512" s="277"/>
      <c r="Z512" s="278"/>
    </row>
    <row r="513" ht="15.75" customHeight="1">
      <c r="D513" s="158"/>
      <c r="G513" s="158"/>
      <c r="K513" s="276"/>
      <c r="N513" s="276"/>
      <c r="T513" s="277"/>
      <c r="Z513" s="278"/>
    </row>
    <row r="514" ht="15.75" customHeight="1">
      <c r="D514" s="158"/>
      <c r="G514" s="158"/>
      <c r="K514" s="276"/>
      <c r="N514" s="276"/>
      <c r="T514" s="277"/>
      <c r="Z514" s="278"/>
    </row>
    <row r="515" ht="15.75" customHeight="1">
      <c r="D515" s="158"/>
      <c r="G515" s="158"/>
      <c r="K515" s="276"/>
      <c r="N515" s="276"/>
      <c r="T515" s="277"/>
      <c r="Z515" s="278"/>
    </row>
    <row r="516" ht="15.75" customHeight="1">
      <c r="D516" s="158"/>
      <c r="G516" s="158"/>
      <c r="K516" s="276"/>
      <c r="N516" s="276"/>
      <c r="T516" s="277"/>
      <c r="Z516" s="278"/>
    </row>
    <row r="517" ht="15.75" customHeight="1">
      <c r="D517" s="158"/>
      <c r="G517" s="158"/>
      <c r="K517" s="276"/>
      <c r="N517" s="276"/>
      <c r="T517" s="277"/>
      <c r="Z517" s="278"/>
    </row>
    <row r="518" ht="15.75" customHeight="1">
      <c r="D518" s="158"/>
      <c r="G518" s="158"/>
      <c r="K518" s="276"/>
      <c r="N518" s="276"/>
      <c r="T518" s="277"/>
      <c r="Z518" s="278"/>
    </row>
    <row r="519" ht="15.75" customHeight="1">
      <c r="D519" s="158"/>
      <c r="G519" s="158"/>
      <c r="K519" s="276"/>
      <c r="N519" s="276"/>
      <c r="T519" s="277"/>
      <c r="Z519" s="278"/>
    </row>
    <row r="520" ht="15.75" customHeight="1">
      <c r="D520" s="158"/>
      <c r="G520" s="158"/>
      <c r="K520" s="276"/>
      <c r="N520" s="276"/>
      <c r="T520" s="277"/>
      <c r="Z520" s="278"/>
    </row>
    <row r="521" ht="15.75" customHeight="1">
      <c r="D521" s="158"/>
      <c r="G521" s="158"/>
      <c r="K521" s="276"/>
      <c r="N521" s="276"/>
      <c r="T521" s="277"/>
      <c r="Z521" s="278"/>
    </row>
    <row r="522" ht="15.75" customHeight="1">
      <c r="D522" s="158"/>
      <c r="G522" s="158"/>
      <c r="K522" s="276"/>
      <c r="N522" s="276"/>
      <c r="T522" s="277"/>
      <c r="Z522" s="278"/>
    </row>
    <row r="523" ht="15.75" customHeight="1">
      <c r="D523" s="158"/>
      <c r="G523" s="158"/>
      <c r="K523" s="276"/>
      <c r="N523" s="276"/>
      <c r="T523" s="277"/>
      <c r="Z523" s="278"/>
    </row>
    <row r="524" ht="15.75" customHeight="1">
      <c r="D524" s="158"/>
      <c r="G524" s="158"/>
      <c r="K524" s="276"/>
      <c r="N524" s="276"/>
      <c r="T524" s="277"/>
      <c r="Z524" s="278"/>
    </row>
    <row r="525" ht="15.75" customHeight="1">
      <c r="D525" s="158"/>
      <c r="G525" s="158"/>
      <c r="K525" s="276"/>
      <c r="N525" s="276"/>
      <c r="T525" s="277"/>
      <c r="Z525" s="278"/>
    </row>
    <row r="526" ht="15.75" customHeight="1">
      <c r="D526" s="158"/>
      <c r="G526" s="158"/>
      <c r="K526" s="276"/>
      <c r="N526" s="276"/>
      <c r="T526" s="277"/>
      <c r="Z526" s="278"/>
    </row>
    <row r="527" ht="15.75" customHeight="1">
      <c r="D527" s="158"/>
      <c r="G527" s="158"/>
      <c r="K527" s="276"/>
      <c r="N527" s="276"/>
      <c r="T527" s="277"/>
      <c r="Z527" s="278"/>
    </row>
    <row r="528" ht="15.75" customHeight="1">
      <c r="D528" s="158"/>
      <c r="G528" s="158"/>
      <c r="K528" s="276"/>
      <c r="N528" s="276"/>
      <c r="T528" s="277"/>
      <c r="Z528" s="278"/>
    </row>
    <row r="529" ht="15.75" customHeight="1">
      <c r="D529" s="158"/>
      <c r="G529" s="158"/>
      <c r="K529" s="276"/>
      <c r="N529" s="276"/>
      <c r="T529" s="277"/>
      <c r="Z529" s="278"/>
    </row>
    <row r="530" ht="15.75" customHeight="1">
      <c r="D530" s="158"/>
      <c r="G530" s="158"/>
      <c r="K530" s="276"/>
      <c r="N530" s="276"/>
      <c r="T530" s="277"/>
      <c r="Z530" s="278"/>
    </row>
    <row r="531" ht="15.75" customHeight="1">
      <c r="D531" s="158"/>
      <c r="G531" s="158"/>
      <c r="K531" s="276"/>
      <c r="N531" s="276"/>
      <c r="T531" s="277"/>
      <c r="Z531" s="278"/>
    </row>
    <row r="532" ht="15.75" customHeight="1">
      <c r="D532" s="158"/>
      <c r="G532" s="158"/>
      <c r="K532" s="276"/>
      <c r="N532" s="276"/>
      <c r="T532" s="277"/>
      <c r="Z532" s="278"/>
    </row>
    <row r="533" ht="15.75" customHeight="1">
      <c r="D533" s="158"/>
      <c r="G533" s="158"/>
      <c r="K533" s="276"/>
      <c r="N533" s="276"/>
      <c r="T533" s="277"/>
      <c r="Z533" s="278"/>
    </row>
    <row r="534" ht="15.75" customHeight="1">
      <c r="D534" s="158"/>
      <c r="G534" s="158"/>
      <c r="K534" s="276"/>
      <c r="N534" s="276"/>
      <c r="T534" s="277"/>
      <c r="Z534" s="278"/>
    </row>
    <row r="535" ht="15.75" customHeight="1">
      <c r="D535" s="158"/>
      <c r="G535" s="158"/>
      <c r="K535" s="276"/>
      <c r="N535" s="276"/>
      <c r="T535" s="277"/>
      <c r="Z535" s="278"/>
    </row>
    <row r="536" ht="15.75" customHeight="1">
      <c r="D536" s="158"/>
      <c r="G536" s="158"/>
      <c r="K536" s="276"/>
      <c r="N536" s="276"/>
      <c r="T536" s="277"/>
      <c r="Z536" s="278"/>
    </row>
    <row r="537" ht="15.75" customHeight="1">
      <c r="D537" s="158"/>
      <c r="G537" s="158"/>
      <c r="K537" s="276"/>
      <c r="N537" s="276"/>
      <c r="T537" s="277"/>
      <c r="Z537" s="278"/>
    </row>
    <row r="538" ht="15.75" customHeight="1">
      <c r="D538" s="158"/>
      <c r="G538" s="158"/>
      <c r="K538" s="276"/>
      <c r="N538" s="276"/>
      <c r="T538" s="277"/>
      <c r="Z538" s="278"/>
    </row>
    <row r="539" ht="15.75" customHeight="1">
      <c r="D539" s="158"/>
      <c r="G539" s="158"/>
      <c r="K539" s="276"/>
      <c r="N539" s="276"/>
      <c r="T539" s="277"/>
      <c r="Z539" s="278"/>
    </row>
    <row r="540" ht="15.75" customHeight="1">
      <c r="D540" s="158"/>
      <c r="G540" s="158"/>
      <c r="K540" s="276"/>
      <c r="N540" s="276"/>
      <c r="T540" s="277"/>
      <c r="Z540" s="278"/>
    </row>
    <row r="541" ht="15.75" customHeight="1">
      <c r="D541" s="158"/>
      <c r="G541" s="158"/>
      <c r="K541" s="276"/>
      <c r="N541" s="276"/>
      <c r="T541" s="277"/>
      <c r="Z541" s="278"/>
    </row>
    <row r="542" ht="15.75" customHeight="1">
      <c r="D542" s="158"/>
      <c r="G542" s="158"/>
      <c r="K542" s="276"/>
      <c r="N542" s="276"/>
      <c r="T542" s="277"/>
      <c r="Z542" s="278"/>
    </row>
    <row r="543" ht="15.75" customHeight="1">
      <c r="D543" s="158"/>
      <c r="G543" s="158"/>
      <c r="K543" s="276"/>
      <c r="N543" s="276"/>
      <c r="T543" s="277"/>
      <c r="Z543" s="278"/>
    </row>
    <row r="544" ht="15.75" customHeight="1">
      <c r="D544" s="158"/>
      <c r="G544" s="158"/>
      <c r="K544" s="276"/>
      <c r="N544" s="276"/>
      <c r="T544" s="277"/>
      <c r="Z544" s="278"/>
    </row>
    <row r="545" ht="15.75" customHeight="1">
      <c r="D545" s="158"/>
      <c r="G545" s="158"/>
      <c r="K545" s="276"/>
      <c r="N545" s="276"/>
      <c r="T545" s="277"/>
      <c r="Z545" s="278"/>
    </row>
    <row r="546" ht="15.75" customHeight="1">
      <c r="D546" s="158"/>
      <c r="G546" s="158"/>
      <c r="K546" s="276"/>
      <c r="N546" s="276"/>
      <c r="T546" s="277"/>
      <c r="Z546" s="278"/>
    </row>
    <row r="547" ht="15.75" customHeight="1">
      <c r="D547" s="158"/>
      <c r="G547" s="158"/>
      <c r="K547" s="276"/>
      <c r="N547" s="276"/>
      <c r="T547" s="277"/>
      <c r="Z547" s="278"/>
    </row>
    <row r="548" ht="15.75" customHeight="1">
      <c r="D548" s="158"/>
      <c r="G548" s="158"/>
      <c r="K548" s="276"/>
      <c r="N548" s="276"/>
      <c r="T548" s="277"/>
      <c r="Z548" s="278"/>
    </row>
    <row r="549" ht="15.75" customHeight="1">
      <c r="D549" s="158"/>
      <c r="G549" s="158"/>
      <c r="K549" s="276"/>
      <c r="N549" s="276"/>
      <c r="T549" s="277"/>
      <c r="Z549" s="278"/>
    </row>
    <row r="550" ht="15.75" customHeight="1">
      <c r="D550" s="158"/>
      <c r="G550" s="158"/>
      <c r="K550" s="276"/>
      <c r="N550" s="276"/>
      <c r="T550" s="277"/>
      <c r="Z550" s="278"/>
    </row>
    <row r="551" ht="15.75" customHeight="1">
      <c r="D551" s="158"/>
      <c r="G551" s="158"/>
      <c r="K551" s="276"/>
      <c r="N551" s="276"/>
      <c r="T551" s="277"/>
      <c r="Z551" s="278"/>
    </row>
    <row r="552" ht="15.75" customHeight="1">
      <c r="D552" s="158"/>
      <c r="G552" s="158"/>
      <c r="K552" s="276"/>
      <c r="N552" s="276"/>
      <c r="T552" s="277"/>
      <c r="Z552" s="278"/>
    </row>
    <row r="553" ht="15.75" customHeight="1">
      <c r="D553" s="158"/>
      <c r="G553" s="158"/>
      <c r="K553" s="276"/>
      <c r="N553" s="276"/>
      <c r="T553" s="277"/>
      <c r="Z553" s="278"/>
    </row>
    <row r="554" ht="15.75" customHeight="1">
      <c r="D554" s="158"/>
      <c r="G554" s="158"/>
      <c r="K554" s="276"/>
      <c r="N554" s="276"/>
      <c r="T554" s="277"/>
      <c r="Z554" s="278"/>
    </row>
    <row r="555" ht="15.75" customHeight="1">
      <c r="D555" s="158"/>
      <c r="G555" s="158"/>
      <c r="K555" s="276"/>
      <c r="N555" s="276"/>
      <c r="T555" s="277"/>
      <c r="Z555" s="278"/>
    </row>
    <row r="556" ht="15.75" customHeight="1">
      <c r="D556" s="158"/>
      <c r="G556" s="158"/>
      <c r="K556" s="276"/>
      <c r="N556" s="276"/>
      <c r="T556" s="277"/>
      <c r="Z556" s="278"/>
    </row>
    <row r="557" ht="15.75" customHeight="1">
      <c r="D557" s="158"/>
      <c r="G557" s="158"/>
      <c r="K557" s="276"/>
      <c r="N557" s="276"/>
      <c r="T557" s="277"/>
      <c r="Z557" s="278"/>
    </row>
    <row r="558" ht="15.75" customHeight="1">
      <c r="D558" s="158"/>
      <c r="G558" s="158"/>
      <c r="K558" s="276"/>
      <c r="N558" s="276"/>
      <c r="T558" s="277"/>
      <c r="Z558" s="278"/>
    </row>
    <row r="559" ht="15.75" customHeight="1">
      <c r="D559" s="158"/>
      <c r="G559" s="158"/>
      <c r="K559" s="276"/>
      <c r="N559" s="276"/>
      <c r="T559" s="277"/>
      <c r="Z559" s="278"/>
    </row>
    <row r="560" ht="15.75" customHeight="1">
      <c r="D560" s="158"/>
      <c r="G560" s="158"/>
      <c r="K560" s="276"/>
      <c r="N560" s="276"/>
      <c r="T560" s="277"/>
      <c r="Z560" s="278"/>
    </row>
    <row r="561" ht="15.75" customHeight="1">
      <c r="D561" s="158"/>
      <c r="G561" s="158"/>
      <c r="K561" s="276"/>
      <c r="N561" s="276"/>
      <c r="T561" s="277"/>
      <c r="Z561" s="278"/>
    </row>
    <row r="562" ht="15.75" customHeight="1">
      <c r="D562" s="158"/>
      <c r="G562" s="158"/>
      <c r="K562" s="276"/>
      <c r="N562" s="276"/>
      <c r="T562" s="277"/>
      <c r="Z562" s="278"/>
    </row>
    <row r="563" ht="15.75" customHeight="1">
      <c r="D563" s="158"/>
      <c r="G563" s="158"/>
      <c r="K563" s="276"/>
      <c r="N563" s="276"/>
      <c r="T563" s="277"/>
      <c r="Z563" s="278"/>
    </row>
    <row r="564" ht="15.75" customHeight="1">
      <c r="D564" s="158"/>
      <c r="G564" s="158"/>
      <c r="K564" s="276"/>
      <c r="N564" s="276"/>
      <c r="T564" s="277"/>
      <c r="Z564" s="278"/>
    </row>
    <row r="565" ht="15.75" customHeight="1">
      <c r="D565" s="158"/>
      <c r="G565" s="158"/>
      <c r="K565" s="276"/>
      <c r="N565" s="276"/>
      <c r="T565" s="277"/>
      <c r="Z565" s="278"/>
    </row>
    <row r="566" ht="15.75" customHeight="1">
      <c r="D566" s="158"/>
      <c r="G566" s="158"/>
      <c r="K566" s="276"/>
      <c r="N566" s="276"/>
      <c r="T566" s="277"/>
      <c r="Z566" s="278"/>
    </row>
    <row r="567" ht="15.75" customHeight="1">
      <c r="D567" s="158"/>
      <c r="G567" s="158"/>
      <c r="K567" s="276"/>
      <c r="N567" s="276"/>
      <c r="T567" s="277"/>
      <c r="Z567" s="278"/>
    </row>
    <row r="568" ht="15.75" customHeight="1">
      <c r="D568" s="158"/>
      <c r="G568" s="158"/>
      <c r="K568" s="276"/>
      <c r="N568" s="276"/>
      <c r="T568" s="277"/>
      <c r="Z568" s="278"/>
    </row>
    <row r="569" ht="15.75" customHeight="1">
      <c r="D569" s="158"/>
      <c r="G569" s="158"/>
      <c r="K569" s="276"/>
      <c r="N569" s="276"/>
      <c r="T569" s="277"/>
      <c r="Z569" s="278"/>
    </row>
    <row r="570" ht="15.75" customHeight="1">
      <c r="D570" s="158"/>
      <c r="G570" s="158"/>
      <c r="K570" s="276"/>
      <c r="N570" s="276"/>
      <c r="T570" s="277"/>
      <c r="Z570" s="278"/>
    </row>
    <row r="571" ht="15.75" customHeight="1">
      <c r="D571" s="158"/>
      <c r="G571" s="158"/>
      <c r="K571" s="276"/>
      <c r="N571" s="276"/>
      <c r="T571" s="277"/>
      <c r="Z571" s="278"/>
    </row>
    <row r="572" ht="15.75" customHeight="1">
      <c r="D572" s="158"/>
      <c r="G572" s="158"/>
      <c r="K572" s="276"/>
      <c r="N572" s="276"/>
      <c r="T572" s="277"/>
      <c r="Z572" s="278"/>
    </row>
    <row r="573" ht="15.75" customHeight="1">
      <c r="D573" s="158"/>
      <c r="G573" s="158"/>
      <c r="K573" s="276"/>
      <c r="N573" s="276"/>
      <c r="T573" s="277"/>
      <c r="Z573" s="278"/>
    </row>
    <row r="574" ht="15.75" customHeight="1">
      <c r="D574" s="158"/>
      <c r="G574" s="158"/>
      <c r="K574" s="276"/>
      <c r="N574" s="276"/>
      <c r="T574" s="277"/>
      <c r="Z574" s="278"/>
    </row>
    <row r="575" ht="15.75" customHeight="1">
      <c r="D575" s="158"/>
      <c r="G575" s="158"/>
      <c r="K575" s="276"/>
      <c r="N575" s="276"/>
      <c r="T575" s="277"/>
      <c r="Z575" s="278"/>
    </row>
    <row r="576" ht="15.75" customHeight="1">
      <c r="D576" s="158"/>
      <c r="G576" s="158"/>
      <c r="K576" s="276"/>
      <c r="N576" s="276"/>
      <c r="T576" s="277"/>
      <c r="Z576" s="278"/>
    </row>
    <row r="577" ht="15.75" customHeight="1">
      <c r="D577" s="158"/>
      <c r="G577" s="158"/>
      <c r="K577" s="276"/>
      <c r="N577" s="276"/>
      <c r="T577" s="277"/>
      <c r="Z577" s="278"/>
    </row>
    <row r="578" ht="15.75" customHeight="1">
      <c r="D578" s="158"/>
      <c r="G578" s="158"/>
      <c r="K578" s="276"/>
      <c r="N578" s="276"/>
      <c r="T578" s="277"/>
      <c r="Z578" s="278"/>
    </row>
    <row r="579" ht="15.75" customHeight="1">
      <c r="D579" s="158"/>
      <c r="G579" s="158"/>
      <c r="K579" s="276"/>
      <c r="N579" s="276"/>
      <c r="T579" s="277"/>
      <c r="Z579" s="278"/>
    </row>
    <row r="580" ht="15.75" customHeight="1">
      <c r="D580" s="158"/>
      <c r="G580" s="158"/>
      <c r="K580" s="276"/>
      <c r="N580" s="276"/>
      <c r="T580" s="277"/>
      <c r="Z580" s="278"/>
    </row>
    <row r="581" ht="15.75" customHeight="1">
      <c r="D581" s="158"/>
      <c r="G581" s="158"/>
      <c r="K581" s="276"/>
      <c r="N581" s="276"/>
      <c r="T581" s="277"/>
      <c r="Z581" s="278"/>
    </row>
    <row r="582" ht="15.75" customHeight="1">
      <c r="D582" s="158"/>
      <c r="G582" s="158"/>
      <c r="K582" s="276"/>
      <c r="N582" s="276"/>
      <c r="T582" s="277"/>
      <c r="Z582" s="278"/>
    </row>
    <row r="583" ht="15.75" customHeight="1">
      <c r="D583" s="158"/>
      <c r="G583" s="158"/>
      <c r="K583" s="276"/>
      <c r="N583" s="276"/>
      <c r="T583" s="277"/>
      <c r="Z583" s="278"/>
    </row>
    <row r="584" ht="15.75" customHeight="1">
      <c r="D584" s="158"/>
      <c r="G584" s="158"/>
      <c r="K584" s="276"/>
      <c r="N584" s="276"/>
      <c r="T584" s="277"/>
      <c r="Z584" s="278"/>
    </row>
    <row r="585" ht="15.75" customHeight="1">
      <c r="D585" s="158"/>
      <c r="G585" s="158"/>
      <c r="K585" s="276"/>
      <c r="N585" s="276"/>
      <c r="T585" s="277"/>
      <c r="Z585" s="278"/>
    </row>
    <row r="586" ht="15.75" customHeight="1">
      <c r="D586" s="158"/>
      <c r="G586" s="158"/>
      <c r="K586" s="276"/>
      <c r="N586" s="276"/>
      <c r="T586" s="277"/>
      <c r="Z586" s="278"/>
    </row>
    <row r="587" ht="15.75" customHeight="1">
      <c r="D587" s="158"/>
      <c r="G587" s="158"/>
      <c r="K587" s="276"/>
      <c r="N587" s="276"/>
      <c r="T587" s="277"/>
      <c r="Z587" s="278"/>
    </row>
    <row r="588" ht="15.75" customHeight="1">
      <c r="D588" s="158"/>
      <c r="G588" s="158"/>
      <c r="K588" s="276"/>
      <c r="N588" s="276"/>
      <c r="T588" s="277"/>
      <c r="Z588" s="278"/>
    </row>
    <row r="589" ht="15.75" customHeight="1">
      <c r="D589" s="158"/>
      <c r="G589" s="158"/>
      <c r="K589" s="276"/>
      <c r="N589" s="276"/>
      <c r="T589" s="277"/>
      <c r="Z589" s="278"/>
    </row>
    <row r="590" ht="15.75" customHeight="1">
      <c r="D590" s="158"/>
      <c r="G590" s="158"/>
      <c r="K590" s="276"/>
      <c r="N590" s="276"/>
      <c r="T590" s="277"/>
      <c r="Z590" s="278"/>
    </row>
    <row r="591" ht="15.75" customHeight="1">
      <c r="D591" s="158"/>
      <c r="G591" s="158"/>
      <c r="K591" s="276"/>
      <c r="N591" s="276"/>
      <c r="T591" s="277"/>
      <c r="Z591" s="278"/>
    </row>
    <row r="592" ht="15.75" customHeight="1">
      <c r="D592" s="158"/>
      <c r="G592" s="158"/>
      <c r="K592" s="276"/>
      <c r="N592" s="276"/>
      <c r="T592" s="277"/>
      <c r="Z592" s="278"/>
    </row>
    <row r="593" ht="15.75" customHeight="1">
      <c r="D593" s="158"/>
      <c r="G593" s="158"/>
      <c r="K593" s="276"/>
      <c r="N593" s="276"/>
      <c r="T593" s="277"/>
      <c r="Z593" s="278"/>
    </row>
    <row r="594" ht="15.75" customHeight="1">
      <c r="D594" s="158"/>
      <c r="G594" s="158"/>
      <c r="K594" s="276"/>
      <c r="N594" s="276"/>
      <c r="T594" s="277"/>
      <c r="Z594" s="278"/>
    </row>
    <row r="595" ht="15.75" customHeight="1">
      <c r="D595" s="158"/>
      <c r="G595" s="158"/>
      <c r="K595" s="276"/>
      <c r="N595" s="276"/>
      <c r="T595" s="277"/>
      <c r="Z595" s="278"/>
    </row>
    <row r="596" ht="15.75" customHeight="1">
      <c r="D596" s="158"/>
      <c r="G596" s="158"/>
      <c r="K596" s="276"/>
      <c r="N596" s="276"/>
      <c r="T596" s="277"/>
      <c r="Z596" s="278"/>
    </row>
    <row r="597" ht="15.75" customHeight="1">
      <c r="D597" s="158"/>
      <c r="G597" s="158"/>
      <c r="K597" s="276"/>
      <c r="N597" s="276"/>
      <c r="T597" s="277"/>
      <c r="Z597" s="278"/>
    </row>
    <row r="598" ht="15.75" customHeight="1">
      <c r="D598" s="158"/>
      <c r="G598" s="158"/>
      <c r="K598" s="276"/>
      <c r="N598" s="276"/>
      <c r="T598" s="277"/>
      <c r="Z598" s="278"/>
    </row>
    <row r="599" ht="15.75" customHeight="1">
      <c r="D599" s="158"/>
      <c r="G599" s="158"/>
      <c r="K599" s="276"/>
      <c r="N599" s="276"/>
      <c r="T599" s="277"/>
      <c r="Z599" s="278"/>
    </row>
    <row r="600" ht="15.75" customHeight="1">
      <c r="D600" s="158"/>
      <c r="G600" s="158"/>
      <c r="K600" s="276"/>
      <c r="N600" s="276"/>
      <c r="T600" s="277"/>
      <c r="Z600" s="278"/>
    </row>
    <row r="601" ht="15.75" customHeight="1">
      <c r="D601" s="158"/>
      <c r="G601" s="158"/>
      <c r="K601" s="276"/>
      <c r="N601" s="276"/>
      <c r="T601" s="277"/>
      <c r="Z601" s="278"/>
    </row>
    <row r="602" ht="15.75" customHeight="1">
      <c r="D602" s="158"/>
      <c r="G602" s="158"/>
      <c r="K602" s="276"/>
      <c r="N602" s="276"/>
      <c r="T602" s="277"/>
      <c r="Z602" s="278"/>
    </row>
    <row r="603" ht="15.75" customHeight="1">
      <c r="D603" s="158"/>
      <c r="G603" s="158"/>
      <c r="K603" s="276"/>
      <c r="N603" s="276"/>
      <c r="T603" s="277"/>
      <c r="Z603" s="278"/>
    </row>
    <row r="604" ht="15.75" customHeight="1">
      <c r="D604" s="158"/>
      <c r="G604" s="158"/>
      <c r="K604" s="276"/>
      <c r="N604" s="276"/>
      <c r="T604" s="277"/>
      <c r="Z604" s="278"/>
    </row>
    <row r="605" ht="15.75" customHeight="1">
      <c r="D605" s="158"/>
      <c r="G605" s="158"/>
      <c r="K605" s="276"/>
      <c r="N605" s="276"/>
      <c r="T605" s="277"/>
      <c r="Z605" s="278"/>
    </row>
    <row r="606" ht="15.75" customHeight="1">
      <c r="D606" s="158"/>
      <c r="G606" s="158"/>
      <c r="K606" s="276"/>
      <c r="N606" s="276"/>
      <c r="T606" s="277"/>
      <c r="Z606" s="278"/>
    </row>
    <row r="607" ht="15.75" customHeight="1">
      <c r="D607" s="158"/>
      <c r="G607" s="158"/>
      <c r="K607" s="276"/>
      <c r="N607" s="276"/>
      <c r="T607" s="277"/>
      <c r="Z607" s="278"/>
    </row>
    <row r="608" ht="15.75" customHeight="1">
      <c r="D608" s="158"/>
      <c r="G608" s="158"/>
      <c r="K608" s="276"/>
      <c r="N608" s="276"/>
      <c r="T608" s="277"/>
      <c r="Z608" s="278"/>
    </row>
    <row r="609" ht="15.75" customHeight="1">
      <c r="D609" s="158"/>
      <c r="G609" s="158"/>
      <c r="K609" s="276"/>
      <c r="N609" s="276"/>
      <c r="T609" s="277"/>
      <c r="Z609" s="278"/>
    </row>
    <row r="610" ht="15.75" customHeight="1">
      <c r="D610" s="158"/>
      <c r="G610" s="158"/>
      <c r="K610" s="276"/>
      <c r="N610" s="276"/>
      <c r="T610" s="277"/>
      <c r="Z610" s="278"/>
    </row>
    <row r="611" ht="15.75" customHeight="1">
      <c r="D611" s="158"/>
      <c r="G611" s="158"/>
      <c r="K611" s="276"/>
      <c r="N611" s="276"/>
      <c r="T611" s="277"/>
      <c r="Z611" s="278"/>
    </row>
    <row r="612" ht="15.75" customHeight="1">
      <c r="D612" s="158"/>
      <c r="G612" s="158"/>
      <c r="K612" s="276"/>
      <c r="N612" s="276"/>
      <c r="T612" s="277"/>
      <c r="Z612" s="278"/>
    </row>
    <row r="613" ht="15.75" customHeight="1">
      <c r="D613" s="158"/>
      <c r="G613" s="158"/>
      <c r="K613" s="276"/>
      <c r="N613" s="276"/>
      <c r="T613" s="277"/>
      <c r="Z613" s="278"/>
    </row>
    <row r="614" ht="15.75" customHeight="1">
      <c r="D614" s="158"/>
      <c r="G614" s="158"/>
      <c r="K614" s="276"/>
      <c r="N614" s="276"/>
      <c r="T614" s="277"/>
      <c r="Z614" s="278"/>
    </row>
    <row r="615" ht="15.75" customHeight="1">
      <c r="D615" s="158"/>
      <c r="G615" s="158"/>
      <c r="K615" s="276"/>
      <c r="N615" s="276"/>
      <c r="T615" s="277"/>
      <c r="Z615" s="278"/>
    </row>
    <row r="616" ht="15.75" customHeight="1">
      <c r="D616" s="158"/>
      <c r="G616" s="158"/>
      <c r="K616" s="276"/>
      <c r="N616" s="276"/>
      <c r="T616" s="277"/>
      <c r="Z616" s="278"/>
    </row>
    <row r="617" ht="15.75" customHeight="1">
      <c r="D617" s="158"/>
      <c r="G617" s="158"/>
      <c r="K617" s="276"/>
      <c r="N617" s="276"/>
      <c r="T617" s="277"/>
      <c r="Z617" s="278"/>
    </row>
    <row r="618" ht="15.75" customHeight="1">
      <c r="D618" s="158"/>
      <c r="G618" s="158"/>
      <c r="K618" s="276"/>
      <c r="N618" s="276"/>
      <c r="T618" s="277"/>
      <c r="Z618" s="278"/>
    </row>
    <row r="619" ht="15.75" customHeight="1">
      <c r="D619" s="158"/>
      <c r="G619" s="158"/>
      <c r="K619" s="276"/>
      <c r="N619" s="276"/>
      <c r="T619" s="277"/>
      <c r="Z619" s="278"/>
    </row>
    <row r="620" ht="15.75" customHeight="1">
      <c r="D620" s="158"/>
      <c r="G620" s="158"/>
      <c r="K620" s="276"/>
      <c r="N620" s="276"/>
      <c r="T620" s="277"/>
      <c r="Z620" s="278"/>
    </row>
    <row r="621" ht="15.75" customHeight="1">
      <c r="D621" s="158"/>
      <c r="G621" s="158"/>
      <c r="K621" s="276"/>
      <c r="N621" s="276"/>
      <c r="T621" s="277"/>
      <c r="Z621" s="278"/>
    </row>
    <row r="622" ht="15.75" customHeight="1">
      <c r="D622" s="158"/>
      <c r="G622" s="158"/>
      <c r="K622" s="276"/>
      <c r="N622" s="276"/>
      <c r="T622" s="277"/>
      <c r="Z622" s="278"/>
    </row>
    <row r="623" ht="15.75" customHeight="1">
      <c r="D623" s="158"/>
      <c r="G623" s="158"/>
      <c r="K623" s="276"/>
      <c r="N623" s="276"/>
      <c r="T623" s="277"/>
      <c r="Z623" s="278"/>
    </row>
    <row r="624" ht="15.75" customHeight="1">
      <c r="D624" s="158"/>
      <c r="G624" s="158"/>
      <c r="K624" s="276"/>
      <c r="N624" s="276"/>
      <c r="T624" s="277"/>
      <c r="Z624" s="278"/>
    </row>
    <row r="625" ht="15.75" customHeight="1">
      <c r="D625" s="158"/>
      <c r="G625" s="158"/>
      <c r="K625" s="276"/>
      <c r="N625" s="276"/>
      <c r="T625" s="277"/>
      <c r="Z625" s="278"/>
    </row>
    <row r="626" ht="15.75" customHeight="1">
      <c r="D626" s="158"/>
      <c r="G626" s="158"/>
      <c r="K626" s="276"/>
      <c r="N626" s="276"/>
      <c r="T626" s="277"/>
      <c r="Z626" s="278"/>
    </row>
    <row r="627" ht="15.75" customHeight="1">
      <c r="D627" s="158"/>
      <c r="G627" s="158"/>
      <c r="K627" s="276"/>
      <c r="N627" s="276"/>
      <c r="T627" s="277"/>
      <c r="Z627" s="278"/>
    </row>
    <row r="628" ht="15.75" customHeight="1">
      <c r="D628" s="158"/>
      <c r="G628" s="158"/>
      <c r="K628" s="276"/>
      <c r="N628" s="276"/>
      <c r="T628" s="277"/>
      <c r="Z628" s="278"/>
    </row>
    <row r="629" ht="15.75" customHeight="1">
      <c r="D629" s="158"/>
      <c r="G629" s="158"/>
      <c r="K629" s="276"/>
      <c r="N629" s="276"/>
      <c r="T629" s="277"/>
      <c r="Z629" s="278"/>
    </row>
    <row r="630" ht="15.75" customHeight="1">
      <c r="D630" s="158"/>
      <c r="G630" s="158"/>
      <c r="K630" s="276"/>
      <c r="N630" s="276"/>
      <c r="T630" s="277"/>
      <c r="Z630" s="278"/>
    </row>
    <row r="631" ht="15.75" customHeight="1">
      <c r="D631" s="158"/>
      <c r="G631" s="158"/>
      <c r="K631" s="276"/>
      <c r="N631" s="276"/>
      <c r="T631" s="277"/>
      <c r="Z631" s="278"/>
    </row>
    <row r="632" ht="15.75" customHeight="1">
      <c r="D632" s="158"/>
      <c r="G632" s="158"/>
      <c r="K632" s="276"/>
      <c r="N632" s="276"/>
      <c r="T632" s="277"/>
      <c r="Z632" s="278"/>
    </row>
    <row r="633" ht="15.75" customHeight="1">
      <c r="D633" s="158"/>
      <c r="G633" s="158"/>
      <c r="K633" s="276"/>
      <c r="N633" s="276"/>
      <c r="T633" s="277"/>
      <c r="Z633" s="278"/>
    </row>
    <row r="634" ht="15.75" customHeight="1">
      <c r="D634" s="158"/>
      <c r="G634" s="158"/>
      <c r="K634" s="276"/>
      <c r="N634" s="276"/>
      <c r="T634" s="277"/>
      <c r="Z634" s="278"/>
    </row>
    <row r="635" ht="15.75" customHeight="1">
      <c r="D635" s="158"/>
      <c r="G635" s="158"/>
      <c r="K635" s="276"/>
      <c r="N635" s="276"/>
      <c r="T635" s="277"/>
      <c r="Z635" s="278"/>
    </row>
    <row r="636" ht="15.75" customHeight="1">
      <c r="D636" s="158"/>
      <c r="G636" s="158"/>
      <c r="K636" s="276"/>
      <c r="N636" s="276"/>
      <c r="T636" s="277"/>
      <c r="Z636" s="278"/>
    </row>
    <row r="637" ht="15.75" customHeight="1">
      <c r="D637" s="158"/>
      <c r="G637" s="158"/>
      <c r="K637" s="276"/>
      <c r="N637" s="276"/>
      <c r="T637" s="277"/>
      <c r="Z637" s="278"/>
    </row>
    <row r="638" ht="15.75" customHeight="1">
      <c r="D638" s="158"/>
      <c r="G638" s="158"/>
      <c r="K638" s="276"/>
      <c r="N638" s="276"/>
      <c r="T638" s="277"/>
      <c r="Z638" s="278"/>
    </row>
    <row r="639" ht="15.75" customHeight="1">
      <c r="D639" s="158"/>
      <c r="G639" s="158"/>
      <c r="K639" s="276"/>
      <c r="N639" s="276"/>
      <c r="T639" s="277"/>
      <c r="Z639" s="278"/>
    </row>
    <row r="640" ht="15.75" customHeight="1">
      <c r="D640" s="158"/>
      <c r="G640" s="158"/>
      <c r="K640" s="276"/>
      <c r="N640" s="276"/>
      <c r="T640" s="277"/>
      <c r="Z640" s="278"/>
    </row>
    <row r="641" ht="15.75" customHeight="1">
      <c r="D641" s="158"/>
      <c r="G641" s="158"/>
      <c r="K641" s="276"/>
      <c r="N641" s="276"/>
      <c r="T641" s="277"/>
      <c r="Z641" s="278"/>
    </row>
    <row r="642" ht="15.75" customHeight="1">
      <c r="D642" s="158"/>
      <c r="G642" s="158"/>
      <c r="K642" s="276"/>
      <c r="N642" s="276"/>
      <c r="T642" s="277"/>
      <c r="Z642" s="278"/>
    </row>
    <row r="643" ht="15.75" customHeight="1">
      <c r="D643" s="158"/>
      <c r="G643" s="158"/>
      <c r="K643" s="276"/>
      <c r="N643" s="276"/>
      <c r="T643" s="277"/>
      <c r="Z643" s="278"/>
    </row>
    <row r="644" ht="15.75" customHeight="1">
      <c r="D644" s="158"/>
      <c r="G644" s="158"/>
      <c r="K644" s="276"/>
      <c r="N644" s="276"/>
      <c r="T644" s="277"/>
      <c r="Z644" s="278"/>
    </row>
    <row r="645" ht="15.75" customHeight="1">
      <c r="D645" s="158"/>
      <c r="G645" s="158"/>
      <c r="K645" s="276"/>
      <c r="N645" s="276"/>
      <c r="T645" s="277"/>
      <c r="Z645" s="278"/>
    </row>
    <row r="646" ht="15.75" customHeight="1">
      <c r="D646" s="158"/>
      <c r="G646" s="158"/>
      <c r="K646" s="276"/>
      <c r="N646" s="276"/>
      <c r="T646" s="277"/>
      <c r="Z646" s="278"/>
    </row>
    <row r="647" ht="15.75" customHeight="1">
      <c r="D647" s="158"/>
      <c r="G647" s="158"/>
      <c r="K647" s="276"/>
      <c r="N647" s="276"/>
      <c r="T647" s="277"/>
      <c r="Z647" s="278"/>
    </row>
    <row r="648" ht="15.75" customHeight="1">
      <c r="D648" s="158"/>
      <c r="G648" s="158"/>
      <c r="K648" s="276"/>
      <c r="N648" s="276"/>
      <c r="T648" s="277"/>
      <c r="Z648" s="278"/>
    </row>
    <row r="649" ht="15.75" customHeight="1">
      <c r="D649" s="158"/>
      <c r="G649" s="158"/>
      <c r="K649" s="276"/>
      <c r="N649" s="276"/>
      <c r="T649" s="277"/>
      <c r="Z649" s="278"/>
    </row>
    <row r="650" ht="15.75" customHeight="1">
      <c r="D650" s="158"/>
      <c r="G650" s="158"/>
      <c r="K650" s="276"/>
      <c r="N650" s="276"/>
      <c r="T650" s="277"/>
      <c r="Z650" s="278"/>
    </row>
    <row r="651" ht="15.75" customHeight="1">
      <c r="D651" s="158"/>
      <c r="G651" s="158"/>
      <c r="K651" s="276"/>
      <c r="N651" s="276"/>
      <c r="T651" s="277"/>
      <c r="Z651" s="278"/>
    </row>
    <row r="652" ht="15.75" customHeight="1">
      <c r="D652" s="158"/>
      <c r="G652" s="158"/>
      <c r="K652" s="276"/>
      <c r="N652" s="276"/>
      <c r="T652" s="277"/>
      <c r="Z652" s="278"/>
    </row>
    <row r="653" ht="15.75" customHeight="1">
      <c r="D653" s="158"/>
      <c r="G653" s="158"/>
      <c r="K653" s="276"/>
      <c r="N653" s="276"/>
      <c r="T653" s="277"/>
      <c r="Z653" s="278"/>
    </row>
    <row r="654" ht="15.75" customHeight="1">
      <c r="D654" s="158"/>
      <c r="G654" s="158"/>
      <c r="K654" s="276"/>
      <c r="N654" s="276"/>
      <c r="T654" s="277"/>
      <c r="Z654" s="278"/>
    </row>
    <row r="655" ht="15.75" customHeight="1">
      <c r="D655" s="158"/>
      <c r="G655" s="158"/>
      <c r="K655" s="276"/>
      <c r="N655" s="276"/>
      <c r="T655" s="277"/>
      <c r="Z655" s="278"/>
    </row>
    <row r="656" ht="15.75" customHeight="1">
      <c r="D656" s="158"/>
      <c r="G656" s="158"/>
      <c r="K656" s="276"/>
      <c r="N656" s="276"/>
      <c r="T656" s="277"/>
      <c r="Z656" s="278"/>
    </row>
    <row r="657" ht="15.75" customHeight="1">
      <c r="D657" s="158"/>
      <c r="G657" s="158"/>
      <c r="K657" s="276"/>
      <c r="N657" s="276"/>
      <c r="T657" s="277"/>
      <c r="Z657" s="278"/>
    </row>
    <row r="658" ht="15.75" customHeight="1">
      <c r="D658" s="158"/>
      <c r="G658" s="158"/>
      <c r="K658" s="276"/>
      <c r="N658" s="276"/>
      <c r="T658" s="277"/>
      <c r="Z658" s="278"/>
    </row>
    <row r="659" ht="15.75" customHeight="1">
      <c r="D659" s="158"/>
      <c r="G659" s="158"/>
      <c r="K659" s="276"/>
      <c r="N659" s="276"/>
      <c r="T659" s="277"/>
      <c r="Z659" s="278"/>
    </row>
    <row r="660" ht="15.75" customHeight="1">
      <c r="D660" s="158"/>
      <c r="G660" s="158"/>
      <c r="K660" s="276"/>
      <c r="N660" s="276"/>
      <c r="T660" s="277"/>
      <c r="Z660" s="278"/>
    </row>
    <row r="661" ht="15.75" customHeight="1">
      <c r="D661" s="158"/>
      <c r="G661" s="158"/>
      <c r="K661" s="276"/>
      <c r="N661" s="276"/>
      <c r="T661" s="277"/>
      <c r="Z661" s="278"/>
    </row>
    <row r="662" ht="15.75" customHeight="1">
      <c r="D662" s="158"/>
      <c r="G662" s="158"/>
      <c r="K662" s="276"/>
      <c r="N662" s="276"/>
      <c r="T662" s="277"/>
      <c r="Z662" s="278"/>
    </row>
    <row r="663" ht="15.75" customHeight="1">
      <c r="D663" s="158"/>
      <c r="G663" s="158"/>
      <c r="K663" s="276"/>
      <c r="N663" s="276"/>
      <c r="T663" s="277"/>
      <c r="Z663" s="278"/>
    </row>
    <row r="664" ht="15.75" customHeight="1">
      <c r="D664" s="158"/>
      <c r="G664" s="158"/>
      <c r="K664" s="276"/>
      <c r="N664" s="276"/>
      <c r="T664" s="277"/>
      <c r="Z664" s="278"/>
    </row>
    <row r="665" ht="15.75" customHeight="1">
      <c r="D665" s="158"/>
      <c r="G665" s="158"/>
      <c r="K665" s="276"/>
      <c r="N665" s="276"/>
      <c r="T665" s="277"/>
      <c r="Z665" s="278"/>
    </row>
    <row r="666" ht="15.75" customHeight="1">
      <c r="D666" s="158"/>
      <c r="G666" s="158"/>
      <c r="K666" s="276"/>
      <c r="N666" s="276"/>
      <c r="T666" s="277"/>
      <c r="Z666" s="278"/>
    </row>
    <row r="667" ht="15.75" customHeight="1">
      <c r="D667" s="158"/>
      <c r="G667" s="158"/>
      <c r="K667" s="276"/>
      <c r="N667" s="276"/>
      <c r="T667" s="277"/>
      <c r="Z667" s="278"/>
    </row>
    <row r="668" ht="15.75" customHeight="1">
      <c r="D668" s="158"/>
      <c r="G668" s="158"/>
      <c r="K668" s="276"/>
      <c r="N668" s="276"/>
      <c r="T668" s="277"/>
      <c r="Z668" s="278"/>
    </row>
    <row r="669" ht="15.75" customHeight="1">
      <c r="D669" s="158"/>
      <c r="G669" s="158"/>
      <c r="K669" s="276"/>
      <c r="N669" s="276"/>
      <c r="T669" s="277"/>
      <c r="Z669" s="278"/>
    </row>
    <row r="670" ht="15.75" customHeight="1">
      <c r="D670" s="158"/>
      <c r="G670" s="158"/>
      <c r="K670" s="276"/>
      <c r="N670" s="276"/>
      <c r="T670" s="277"/>
      <c r="Z670" s="278"/>
    </row>
    <row r="671" ht="15.75" customHeight="1">
      <c r="D671" s="158"/>
      <c r="G671" s="158"/>
      <c r="K671" s="276"/>
      <c r="N671" s="276"/>
      <c r="T671" s="277"/>
      <c r="Z671" s="278"/>
    </row>
    <row r="672" ht="15.75" customHeight="1">
      <c r="D672" s="158"/>
      <c r="G672" s="158"/>
      <c r="K672" s="276"/>
      <c r="N672" s="276"/>
      <c r="T672" s="277"/>
      <c r="Z672" s="278"/>
    </row>
    <row r="673" ht="15.75" customHeight="1">
      <c r="D673" s="158"/>
      <c r="G673" s="158"/>
      <c r="K673" s="276"/>
      <c r="N673" s="276"/>
      <c r="T673" s="277"/>
      <c r="Z673" s="278"/>
    </row>
    <row r="674" ht="15.75" customHeight="1">
      <c r="D674" s="158"/>
      <c r="G674" s="158"/>
      <c r="K674" s="276"/>
      <c r="N674" s="276"/>
      <c r="T674" s="277"/>
      <c r="Z674" s="278"/>
    </row>
    <row r="675" ht="15.75" customHeight="1">
      <c r="D675" s="158"/>
      <c r="G675" s="158"/>
      <c r="K675" s="276"/>
      <c r="N675" s="276"/>
      <c r="T675" s="277"/>
      <c r="Z675" s="278"/>
    </row>
    <row r="676" ht="15.75" customHeight="1">
      <c r="D676" s="158"/>
      <c r="G676" s="158"/>
      <c r="K676" s="276"/>
      <c r="N676" s="276"/>
      <c r="T676" s="277"/>
      <c r="Z676" s="278"/>
    </row>
    <row r="677" ht="15.75" customHeight="1">
      <c r="D677" s="158"/>
      <c r="G677" s="158"/>
      <c r="K677" s="276"/>
      <c r="N677" s="276"/>
      <c r="T677" s="277"/>
      <c r="Z677" s="278"/>
    </row>
    <row r="678" ht="15.75" customHeight="1">
      <c r="D678" s="158"/>
      <c r="G678" s="158"/>
      <c r="K678" s="276"/>
      <c r="N678" s="276"/>
      <c r="T678" s="277"/>
      <c r="Z678" s="278"/>
    </row>
    <row r="679" ht="15.75" customHeight="1">
      <c r="D679" s="158"/>
      <c r="G679" s="158"/>
      <c r="K679" s="276"/>
      <c r="N679" s="276"/>
      <c r="T679" s="277"/>
      <c r="Z679" s="278"/>
    </row>
    <row r="680" ht="15.75" customHeight="1">
      <c r="D680" s="158"/>
      <c r="G680" s="158"/>
      <c r="K680" s="276"/>
      <c r="N680" s="276"/>
      <c r="T680" s="277"/>
      <c r="Z680" s="278"/>
    </row>
    <row r="681" ht="15.75" customHeight="1">
      <c r="D681" s="158"/>
      <c r="G681" s="158"/>
      <c r="K681" s="276"/>
      <c r="N681" s="276"/>
      <c r="T681" s="277"/>
      <c r="Z681" s="278"/>
    </row>
    <row r="682" ht="15.75" customHeight="1">
      <c r="D682" s="158"/>
      <c r="G682" s="158"/>
      <c r="K682" s="276"/>
      <c r="N682" s="276"/>
      <c r="T682" s="277"/>
      <c r="Z682" s="278"/>
    </row>
    <row r="683" ht="15.75" customHeight="1">
      <c r="D683" s="158"/>
      <c r="G683" s="158"/>
      <c r="K683" s="276"/>
      <c r="N683" s="276"/>
      <c r="T683" s="277"/>
      <c r="Z683" s="278"/>
    </row>
    <row r="684" ht="15.75" customHeight="1">
      <c r="D684" s="158"/>
      <c r="G684" s="158"/>
      <c r="K684" s="276"/>
      <c r="N684" s="276"/>
      <c r="T684" s="277"/>
      <c r="Z684" s="278"/>
    </row>
    <row r="685" ht="15.75" customHeight="1">
      <c r="D685" s="158"/>
      <c r="G685" s="158"/>
      <c r="K685" s="276"/>
      <c r="N685" s="276"/>
      <c r="T685" s="277"/>
      <c r="Z685" s="278"/>
    </row>
    <row r="686" ht="15.75" customHeight="1">
      <c r="D686" s="158"/>
      <c r="G686" s="158"/>
      <c r="K686" s="276"/>
      <c r="N686" s="276"/>
      <c r="T686" s="277"/>
      <c r="Z686" s="278"/>
    </row>
    <row r="687" ht="15.75" customHeight="1">
      <c r="D687" s="158"/>
      <c r="G687" s="158"/>
      <c r="K687" s="276"/>
      <c r="N687" s="276"/>
      <c r="T687" s="277"/>
      <c r="Z687" s="278"/>
    </row>
    <row r="688" ht="15.75" customHeight="1">
      <c r="D688" s="158"/>
      <c r="G688" s="158"/>
      <c r="K688" s="276"/>
      <c r="N688" s="276"/>
      <c r="T688" s="277"/>
      <c r="Z688" s="278"/>
    </row>
    <row r="689" ht="15.75" customHeight="1">
      <c r="D689" s="158"/>
      <c r="G689" s="158"/>
      <c r="K689" s="276"/>
      <c r="N689" s="276"/>
      <c r="T689" s="277"/>
      <c r="Z689" s="278"/>
    </row>
    <row r="690" ht="15.75" customHeight="1">
      <c r="D690" s="158"/>
      <c r="G690" s="158"/>
      <c r="K690" s="276"/>
      <c r="N690" s="276"/>
      <c r="T690" s="277"/>
      <c r="Z690" s="278"/>
    </row>
    <row r="691" ht="15.75" customHeight="1">
      <c r="D691" s="158"/>
      <c r="G691" s="158"/>
      <c r="K691" s="276"/>
      <c r="N691" s="276"/>
      <c r="T691" s="277"/>
      <c r="Z691" s="278"/>
    </row>
    <row r="692" ht="15.75" customHeight="1">
      <c r="D692" s="158"/>
      <c r="G692" s="158"/>
      <c r="K692" s="276"/>
      <c r="N692" s="276"/>
      <c r="T692" s="277"/>
      <c r="Z692" s="278"/>
    </row>
    <row r="693" ht="15.75" customHeight="1">
      <c r="D693" s="158"/>
      <c r="G693" s="158"/>
      <c r="K693" s="276"/>
      <c r="N693" s="276"/>
      <c r="T693" s="277"/>
      <c r="Z693" s="278"/>
    </row>
    <row r="694" ht="15.75" customHeight="1">
      <c r="D694" s="158"/>
      <c r="G694" s="158"/>
      <c r="K694" s="276"/>
      <c r="N694" s="276"/>
      <c r="T694" s="277"/>
      <c r="Z694" s="278"/>
    </row>
    <row r="695" ht="15.75" customHeight="1">
      <c r="D695" s="158"/>
      <c r="G695" s="158"/>
      <c r="K695" s="276"/>
      <c r="N695" s="276"/>
      <c r="T695" s="277"/>
      <c r="Z695" s="278"/>
    </row>
    <row r="696" ht="15.75" customHeight="1">
      <c r="D696" s="158"/>
      <c r="G696" s="158"/>
      <c r="K696" s="276"/>
      <c r="N696" s="276"/>
      <c r="T696" s="277"/>
      <c r="Z696" s="278"/>
    </row>
    <row r="697" ht="15.75" customHeight="1">
      <c r="D697" s="158"/>
      <c r="G697" s="158"/>
      <c r="K697" s="276"/>
      <c r="N697" s="276"/>
      <c r="T697" s="277"/>
      <c r="Z697" s="278"/>
    </row>
    <row r="698" ht="15.75" customHeight="1">
      <c r="D698" s="158"/>
      <c r="G698" s="158"/>
      <c r="K698" s="276"/>
      <c r="N698" s="276"/>
      <c r="T698" s="277"/>
      <c r="Z698" s="278"/>
    </row>
    <row r="699" ht="15.75" customHeight="1">
      <c r="D699" s="158"/>
      <c r="G699" s="158"/>
      <c r="K699" s="276"/>
      <c r="N699" s="276"/>
      <c r="T699" s="277"/>
      <c r="Z699" s="278"/>
    </row>
    <row r="700" ht="15.75" customHeight="1">
      <c r="D700" s="158"/>
      <c r="G700" s="158"/>
      <c r="K700" s="276"/>
      <c r="N700" s="276"/>
      <c r="T700" s="277"/>
      <c r="Z700" s="278"/>
    </row>
    <row r="701" ht="15.75" customHeight="1">
      <c r="D701" s="158"/>
      <c r="G701" s="158"/>
      <c r="K701" s="276"/>
      <c r="N701" s="276"/>
      <c r="T701" s="277"/>
      <c r="Z701" s="278"/>
    </row>
    <row r="702" ht="15.75" customHeight="1">
      <c r="D702" s="158"/>
      <c r="G702" s="158"/>
      <c r="K702" s="276"/>
      <c r="N702" s="276"/>
      <c r="T702" s="277"/>
      <c r="Z702" s="278"/>
    </row>
    <row r="703" ht="15.75" customHeight="1">
      <c r="D703" s="158"/>
      <c r="G703" s="158"/>
      <c r="K703" s="276"/>
      <c r="N703" s="276"/>
      <c r="T703" s="277"/>
      <c r="Z703" s="278"/>
    </row>
    <row r="704" ht="15.75" customHeight="1">
      <c r="D704" s="158"/>
      <c r="G704" s="158"/>
      <c r="K704" s="276"/>
      <c r="N704" s="276"/>
      <c r="T704" s="277"/>
      <c r="Z704" s="278"/>
    </row>
    <row r="705" ht="15.75" customHeight="1">
      <c r="D705" s="158"/>
      <c r="G705" s="158"/>
      <c r="K705" s="276"/>
      <c r="N705" s="276"/>
      <c r="T705" s="277"/>
      <c r="Z705" s="278"/>
    </row>
    <row r="706" ht="15.75" customHeight="1">
      <c r="D706" s="158"/>
      <c r="G706" s="158"/>
      <c r="K706" s="276"/>
      <c r="N706" s="276"/>
      <c r="T706" s="277"/>
      <c r="Z706" s="278"/>
    </row>
    <row r="707" ht="15.75" customHeight="1">
      <c r="D707" s="158"/>
      <c r="G707" s="158"/>
      <c r="K707" s="276"/>
      <c r="N707" s="276"/>
      <c r="T707" s="277"/>
      <c r="Z707" s="278"/>
    </row>
    <row r="708" ht="15.75" customHeight="1">
      <c r="D708" s="158"/>
      <c r="G708" s="158"/>
      <c r="K708" s="276"/>
      <c r="N708" s="276"/>
      <c r="T708" s="277"/>
      <c r="Z708" s="278"/>
    </row>
    <row r="709" ht="15.75" customHeight="1">
      <c r="D709" s="158"/>
      <c r="G709" s="158"/>
      <c r="K709" s="276"/>
      <c r="N709" s="276"/>
      <c r="T709" s="277"/>
      <c r="Z709" s="278"/>
    </row>
    <row r="710" ht="15.75" customHeight="1">
      <c r="D710" s="158"/>
      <c r="G710" s="158"/>
      <c r="K710" s="276"/>
      <c r="N710" s="276"/>
      <c r="T710" s="277"/>
      <c r="Z710" s="278"/>
    </row>
    <row r="711" ht="15.75" customHeight="1">
      <c r="D711" s="158"/>
      <c r="G711" s="158"/>
      <c r="K711" s="276"/>
      <c r="N711" s="276"/>
      <c r="T711" s="277"/>
      <c r="Z711" s="278"/>
    </row>
    <row r="712" ht="15.75" customHeight="1">
      <c r="D712" s="158"/>
      <c r="G712" s="158"/>
      <c r="K712" s="276"/>
      <c r="N712" s="276"/>
      <c r="T712" s="277"/>
      <c r="Z712" s="278"/>
    </row>
    <row r="713" ht="15.75" customHeight="1">
      <c r="D713" s="158"/>
      <c r="G713" s="158"/>
      <c r="K713" s="276"/>
      <c r="N713" s="276"/>
      <c r="T713" s="277"/>
      <c r="Z713" s="278"/>
    </row>
    <row r="714" ht="15.75" customHeight="1">
      <c r="D714" s="158"/>
      <c r="G714" s="158"/>
      <c r="K714" s="276"/>
      <c r="N714" s="276"/>
      <c r="T714" s="277"/>
      <c r="Z714" s="278"/>
    </row>
    <row r="715" ht="15.75" customHeight="1">
      <c r="D715" s="158"/>
      <c r="G715" s="158"/>
      <c r="K715" s="276"/>
      <c r="N715" s="276"/>
      <c r="T715" s="277"/>
      <c r="Z715" s="278"/>
    </row>
    <row r="716" ht="15.75" customHeight="1">
      <c r="D716" s="158"/>
      <c r="G716" s="158"/>
      <c r="K716" s="276"/>
      <c r="N716" s="276"/>
      <c r="T716" s="277"/>
      <c r="Z716" s="278"/>
    </row>
    <row r="717" ht="15.75" customHeight="1">
      <c r="D717" s="158"/>
      <c r="G717" s="158"/>
      <c r="K717" s="276"/>
      <c r="N717" s="276"/>
      <c r="T717" s="277"/>
      <c r="Z717" s="278"/>
    </row>
    <row r="718" ht="15.75" customHeight="1">
      <c r="D718" s="158"/>
      <c r="G718" s="158"/>
      <c r="K718" s="276"/>
      <c r="N718" s="276"/>
      <c r="T718" s="277"/>
      <c r="Z718" s="278"/>
    </row>
    <row r="719" ht="15.75" customHeight="1">
      <c r="D719" s="158"/>
      <c r="G719" s="158"/>
      <c r="K719" s="276"/>
      <c r="N719" s="276"/>
      <c r="T719" s="277"/>
      <c r="Z719" s="278"/>
    </row>
    <row r="720" ht="15.75" customHeight="1">
      <c r="D720" s="158"/>
      <c r="G720" s="158"/>
      <c r="K720" s="276"/>
      <c r="N720" s="276"/>
      <c r="T720" s="277"/>
      <c r="Z720" s="278"/>
    </row>
    <row r="721" ht="15.75" customHeight="1">
      <c r="D721" s="158"/>
      <c r="G721" s="158"/>
      <c r="K721" s="276"/>
      <c r="N721" s="276"/>
      <c r="T721" s="277"/>
      <c r="Z721" s="278"/>
    </row>
    <row r="722" ht="15.75" customHeight="1">
      <c r="D722" s="158"/>
      <c r="G722" s="158"/>
      <c r="K722" s="276"/>
      <c r="N722" s="276"/>
      <c r="T722" s="277"/>
      <c r="Z722" s="278"/>
    </row>
    <row r="723" ht="15.75" customHeight="1">
      <c r="D723" s="158"/>
      <c r="G723" s="158"/>
      <c r="K723" s="276"/>
      <c r="N723" s="276"/>
      <c r="T723" s="277"/>
      <c r="Z723" s="278"/>
    </row>
    <row r="724" ht="15.75" customHeight="1">
      <c r="D724" s="158"/>
      <c r="G724" s="158"/>
      <c r="K724" s="276"/>
      <c r="N724" s="276"/>
      <c r="T724" s="277"/>
      <c r="Z724" s="278"/>
    </row>
    <row r="725" ht="15.75" customHeight="1">
      <c r="D725" s="158"/>
      <c r="G725" s="158"/>
      <c r="K725" s="276"/>
      <c r="N725" s="276"/>
      <c r="T725" s="277"/>
      <c r="Z725" s="278"/>
    </row>
    <row r="726" ht="15.75" customHeight="1">
      <c r="D726" s="158"/>
      <c r="G726" s="158"/>
      <c r="K726" s="276"/>
      <c r="N726" s="276"/>
      <c r="T726" s="277"/>
      <c r="Z726" s="278"/>
    </row>
    <row r="727" ht="15.75" customHeight="1">
      <c r="D727" s="158"/>
      <c r="G727" s="158"/>
      <c r="K727" s="276"/>
      <c r="N727" s="276"/>
      <c r="T727" s="277"/>
      <c r="Z727" s="278"/>
    </row>
    <row r="728" ht="15.75" customHeight="1">
      <c r="D728" s="158"/>
      <c r="G728" s="158"/>
      <c r="K728" s="276"/>
      <c r="N728" s="276"/>
      <c r="T728" s="277"/>
      <c r="Z728" s="278"/>
    </row>
    <row r="729" ht="15.75" customHeight="1">
      <c r="D729" s="158"/>
      <c r="G729" s="158"/>
      <c r="K729" s="276"/>
      <c r="N729" s="276"/>
      <c r="T729" s="277"/>
      <c r="Z729" s="278"/>
    </row>
    <row r="730" ht="15.75" customHeight="1">
      <c r="D730" s="158"/>
      <c r="G730" s="158"/>
      <c r="K730" s="276"/>
      <c r="N730" s="276"/>
      <c r="T730" s="277"/>
      <c r="Z730" s="278"/>
    </row>
    <row r="731" ht="15.75" customHeight="1">
      <c r="D731" s="158"/>
      <c r="G731" s="158"/>
      <c r="K731" s="276"/>
      <c r="N731" s="276"/>
      <c r="T731" s="277"/>
      <c r="Z731" s="278"/>
    </row>
    <row r="732" ht="15.75" customHeight="1">
      <c r="D732" s="158"/>
      <c r="G732" s="158"/>
      <c r="K732" s="276"/>
      <c r="N732" s="276"/>
      <c r="T732" s="277"/>
      <c r="Z732" s="278"/>
    </row>
    <row r="733" ht="15.75" customHeight="1">
      <c r="D733" s="158"/>
      <c r="G733" s="158"/>
      <c r="K733" s="276"/>
      <c r="N733" s="276"/>
      <c r="T733" s="277"/>
      <c r="Z733" s="278"/>
    </row>
    <row r="734" ht="15.75" customHeight="1">
      <c r="D734" s="158"/>
      <c r="G734" s="158"/>
      <c r="K734" s="276"/>
      <c r="N734" s="276"/>
      <c r="T734" s="277"/>
      <c r="Z734" s="278"/>
    </row>
    <row r="735" ht="15.75" customHeight="1">
      <c r="D735" s="158"/>
      <c r="G735" s="158"/>
      <c r="K735" s="276"/>
      <c r="N735" s="276"/>
      <c r="T735" s="277"/>
      <c r="Z735" s="278"/>
    </row>
    <row r="736" ht="15.75" customHeight="1">
      <c r="D736" s="158"/>
      <c r="G736" s="158"/>
      <c r="K736" s="276"/>
      <c r="N736" s="276"/>
      <c r="T736" s="277"/>
      <c r="Z736" s="278"/>
    </row>
    <row r="737" ht="15.75" customHeight="1">
      <c r="D737" s="158"/>
      <c r="G737" s="158"/>
      <c r="K737" s="276"/>
      <c r="N737" s="276"/>
      <c r="T737" s="277"/>
      <c r="Z737" s="278"/>
    </row>
    <row r="738" ht="15.75" customHeight="1">
      <c r="D738" s="158"/>
      <c r="G738" s="158"/>
      <c r="K738" s="276"/>
      <c r="N738" s="276"/>
      <c r="T738" s="277"/>
      <c r="Z738" s="278"/>
    </row>
    <row r="739" ht="15.75" customHeight="1">
      <c r="D739" s="158"/>
      <c r="G739" s="158"/>
      <c r="K739" s="276"/>
      <c r="N739" s="276"/>
      <c r="T739" s="277"/>
      <c r="Z739" s="278"/>
    </row>
    <row r="740" ht="15.75" customHeight="1">
      <c r="D740" s="158"/>
      <c r="G740" s="158"/>
      <c r="K740" s="276"/>
      <c r="N740" s="276"/>
      <c r="T740" s="277"/>
      <c r="Z740" s="278"/>
    </row>
    <row r="741" ht="15.75" customHeight="1">
      <c r="D741" s="158"/>
      <c r="G741" s="158"/>
      <c r="K741" s="276"/>
      <c r="N741" s="276"/>
      <c r="T741" s="277"/>
      <c r="Z741" s="278"/>
    </row>
    <row r="742" ht="15.75" customHeight="1">
      <c r="D742" s="158"/>
      <c r="G742" s="158"/>
      <c r="K742" s="276"/>
      <c r="N742" s="276"/>
      <c r="T742" s="277"/>
      <c r="Z742" s="278"/>
    </row>
    <row r="743" ht="15.75" customHeight="1">
      <c r="D743" s="158"/>
      <c r="G743" s="158"/>
      <c r="K743" s="276"/>
      <c r="N743" s="276"/>
      <c r="T743" s="277"/>
      <c r="Z743" s="278"/>
    </row>
    <row r="744" ht="15.75" customHeight="1">
      <c r="D744" s="158"/>
      <c r="G744" s="158"/>
      <c r="K744" s="276"/>
      <c r="N744" s="276"/>
      <c r="T744" s="277"/>
      <c r="Z744" s="278"/>
    </row>
    <row r="745" ht="15.75" customHeight="1">
      <c r="D745" s="158"/>
      <c r="G745" s="158"/>
      <c r="K745" s="276"/>
      <c r="N745" s="276"/>
      <c r="T745" s="277"/>
      <c r="Z745" s="278"/>
    </row>
    <row r="746" ht="15.75" customHeight="1">
      <c r="D746" s="158"/>
      <c r="G746" s="158"/>
      <c r="K746" s="276"/>
      <c r="N746" s="276"/>
      <c r="T746" s="277"/>
      <c r="Z746" s="278"/>
    </row>
    <row r="747" ht="15.75" customHeight="1">
      <c r="D747" s="158"/>
      <c r="G747" s="158"/>
      <c r="K747" s="276"/>
      <c r="N747" s="276"/>
      <c r="T747" s="277"/>
      <c r="Z747" s="278"/>
    </row>
    <row r="748" ht="15.75" customHeight="1">
      <c r="D748" s="158"/>
      <c r="G748" s="158"/>
      <c r="K748" s="276"/>
      <c r="N748" s="276"/>
      <c r="T748" s="277"/>
      <c r="Z748" s="278"/>
    </row>
    <row r="749" ht="15.75" customHeight="1">
      <c r="D749" s="158"/>
      <c r="G749" s="158"/>
      <c r="K749" s="276"/>
      <c r="N749" s="276"/>
      <c r="T749" s="277"/>
      <c r="Z749" s="278"/>
    </row>
    <row r="750" ht="15.75" customHeight="1">
      <c r="D750" s="158"/>
      <c r="G750" s="158"/>
      <c r="K750" s="276"/>
      <c r="N750" s="276"/>
      <c r="T750" s="277"/>
      <c r="Z750" s="278"/>
    </row>
    <row r="751" ht="15.75" customHeight="1">
      <c r="D751" s="158"/>
      <c r="G751" s="158"/>
      <c r="K751" s="276"/>
      <c r="N751" s="276"/>
      <c r="T751" s="277"/>
      <c r="Z751" s="278"/>
    </row>
    <row r="752" ht="15.75" customHeight="1">
      <c r="D752" s="158"/>
      <c r="G752" s="158"/>
      <c r="K752" s="276"/>
      <c r="N752" s="276"/>
      <c r="T752" s="277"/>
      <c r="Z752" s="278"/>
    </row>
    <row r="753" ht="15.75" customHeight="1">
      <c r="D753" s="158"/>
      <c r="G753" s="158"/>
      <c r="K753" s="276"/>
      <c r="N753" s="276"/>
      <c r="T753" s="277"/>
      <c r="Z753" s="278"/>
    </row>
    <row r="754" ht="15.75" customHeight="1">
      <c r="D754" s="158"/>
      <c r="G754" s="158"/>
      <c r="K754" s="276"/>
      <c r="N754" s="276"/>
      <c r="T754" s="277"/>
      <c r="Z754" s="278"/>
    </row>
    <row r="755" ht="15.75" customHeight="1">
      <c r="D755" s="158"/>
      <c r="G755" s="158"/>
      <c r="K755" s="276"/>
      <c r="N755" s="276"/>
      <c r="T755" s="277"/>
      <c r="Z755" s="278"/>
    </row>
    <row r="756" ht="15.75" customHeight="1">
      <c r="D756" s="158"/>
      <c r="G756" s="158"/>
      <c r="K756" s="276"/>
      <c r="N756" s="276"/>
      <c r="T756" s="277"/>
      <c r="Z756" s="278"/>
    </row>
    <row r="757" ht="15.75" customHeight="1">
      <c r="D757" s="158"/>
      <c r="G757" s="158"/>
      <c r="K757" s="276"/>
      <c r="N757" s="276"/>
      <c r="T757" s="277"/>
      <c r="Z757" s="278"/>
    </row>
    <row r="758" ht="15.75" customHeight="1">
      <c r="D758" s="158"/>
      <c r="G758" s="158"/>
      <c r="K758" s="276"/>
      <c r="N758" s="276"/>
      <c r="T758" s="277"/>
      <c r="Z758" s="278"/>
    </row>
    <row r="759" ht="15.75" customHeight="1">
      <c r="D759" s="158"/>
      <c r="G759" s="158"/>
      <c r="K759" s="276"/>
      <c r="N759" s="276"/>
      <c r="T759" s="277"/>
      <c r="Z759" s="278"/>
    </row>
    <row r="760" ht="15.75" customHeight="1">
      <c r="D760" s="158"/>
      <c r="G760" s="158"/>
      <c r="K760" s="276"/>
      <c r="N760" s="276"/>
      <c r="T760" s="277"/>
      <c r="Z760" s="278"/>
    </row>
    <row r="761" ht="15.75" customHeight="1">
      <c r="D761" s="158"/>
      <c r="G761" s="158"/>
      <c r="K761" s="276"/>
      <c r="N761" s="276"/>
      <c r="T761" s="277"/>
      <c r="Z761" s="278"/>
    </row>
    <row r="762" ht="15.75" customHeight="1">
      <c r="D762" s="158"/>
      <c r="G762" s="158"/>
      <c r="K762" s="276"/>
      <c r="N762" s="276"/>
      <c r="T762" s="277"/>
      <c r="Z762" s="278"/>
    </row>
    <row r="763" ht="15.75" customHeight="1">
      <c r="D763" s="158"/>
      <c r="G763" s="158"/>
      <c r="K763" s="276"/>
      <c r="N763" s="276"/>
      <c r="T763" s="277"/>
      <c r="Z763" s="278"/>
    </row>
    <row r="764" ht="15.75" customHeight="1">
      <c r="D764" s="158"/>
      <c r="G764" s="158"/>
      <c r="K764" s="276"/>
      <c r="N764" s="276"/>
      <c r="T764" s="277"/>
      <c r="Z764" s="278"/>
    </row>
    <row r="765" ht="15.75" customHeight="1">
      <c r="D765" s="158"/>
      <c r="G765" s="158"/>
      <c r="K765" s="276"/>
      <c r="N765" s="276"/>
      <c r="T765" s="277"/>
      <c r="Z765" s="278"/>
    </row>
    <row r="766" ht="15.75" customHeight="1">
      <c r="D766" s="158"/>
      <c r="G766" s="158"/>
      <c r="K766" s="276"/>
      <c r="N766" s="276"/>
      <c r="T766" s="277"/>
      <c r="Z766" s="278"/>
    </row>
    <row r="767" ht="15.75" customHeight="1">
      <c r="D767" s="158"/>
      <c r="G767" s="158"/>
      <c r="K767" s="276"/>
      <c r="N767" s="276"/>
      <c r="T767" s="277"/>
      <c r="Z767" s="278"/>
    </row>
    <row r="768" ht="15.75" customHeight="1">
      <c r="D768" s="158"/>
      <c r="G768" s="158"/>
      <c r="K768" s="276"/>
      <c r="N768" s="276"/>
      <c r="T768" s="277"/>
      <c r="Z768" s="278"/>
    </row>
    <row r="769" ht="15.75" customHeight="1">
      <c r="D769" s="158"/>
      <c r="G769" s="158"/>
      <c r="K769" s="276"/>
      <c r="N769" s="276"/>
      <c r="T769" s="277"/>
      <c r="Z769" s="278"/>
    </row>
    <row r="770" ht="15.75" customHeight="1">
      <c r="D770" s="158"/>
      <c r="G770" s="158"/>
      <c r="K770" s="276"/>
      <c r="N770" s="276"/>
      <c r="T770" s="277"/>
      <c r="Z770" s="278"/>
    </row>
    <row r="771" ht="15.75" customHeight="1">
      <c r="D771" s="158"/>
      <c r="G771" s="158"/>
      <c r="K771" s="276"/>
      <c r="N771" s="276"/>
      <c r="T771" s="277"/>
      <c r="Z771" s="278"/>
    </row>
    <row r="772" ht="15.75" customHeight="1">
      <c r="D772" s="158"/>
      <c r="G772" s="158"/>
      <c r="K772" s="276"/>
      <c r="N772" s="276"/>
      <c r="T772" s="277"/>
      <c r="Z772" s="278"/>
    </row>
    <row r="773" ht="15.75" customHeight="1">
      <c r="D773" s="158"/>
      <c r="G773" s="158"/>
      <c r="K773" s="276"/>
      <c r="N773" s="276"/>
      <c r="T773" s="277"/>
      <c r="Z773" s="278"/>
    </row>
    <row r="774" ht="15.75" customHeight="1">
      <c r="D774" s="158"/>
      <c r="G774" s="158"/>
      <c r="K774" s="276"/>
      <c r="N774" s="276"/>
      <c r="T774" s="277"/>
      <c r="Z774" s="278"/>
    </row>
    <row r="775" ht="15.75" customHeight="1">
      <c r="D775" s="158"/>
      <c r="G775" s="158"/>
      <c r="K775" s="276"/>
      <c r="N775" s="276"/>
      <c r="T775" s="277"/>
      <c r="Z775" s="278"/>
    </row>
    <row r="776" ht="15.75" customHeight="1">
      <c r="D776" s="158"/>
      <c r="G776" s="158"/>
      <c r="K776" s="276"/>
      <c r="N776" s="276"/>
      <c r="T776" s="277"/>
      <c r="Z776" s="278"/>
    </row>
    <row r="777" ht="15.75" customHeight="1">
      <c r="D777" s="158"/>
      <c r="G777" s="158"/>
      <c r="K777" s="276"/>
      <c r="N777" s="276"/>
      <c r="T777" s="277"/>
      <c r="Z777" s="278"/>
    </row>
    <row r="778" ht="15.75" customHeight="1">
      <c r="D778" s="158"/>
      <c r="G778" s="158"/>
      <c r="K778" s="276"/>
      <c r="N778" s="276"/>
      <c r="T778" s="277"/>
      <c r="Z778" s="278"/>
    </row>
    <row r="779" ht="15.75" customHeight="1">
      <c r="D779" s="158"/>
      <c r="G779" s="158"/>
      <c r="K779" s="276"/>
      <c r="N779" s="276"/>
      <c r="T779" s="277"/>
      <c r="Z779" s="278"/>
    </row>
    <row r="780" ht="15.75" customHeight="1">
      <c r="D780" s="158"/>
      <c r="G780" s="158"/>
      <c r="K780" s="276"/>
      <c r="N780" s="276"/>
      <c r="T780" s="277"/>
      <c r="Z780" s="278"/>
    </row>
    <row r="781" ht="15.75" customHeight="1">
      <c r="D781" s="158"/>
      <c r="G781" s="158"/>
      <c r="K781" s="276"/>
      <c r="N781" s="276"/>
      <c r="T781" s="277"/>
      <c r="Z781" s="278"/>
    </row>
    <row r="782" ht="15.75" customHeight="1">
      <c r="D782" s="158"/>
      <c r="G782" s="158"/>
      <c r="K782" s="276"/>
      <c r="N782" s="276"/>
      <c r="T782" s="277"/>
      <c r="Z782" s="278"/>
    </row>
    <row r="783" ht="15.75" customHeight="1">
      <c r="D783" s="158"/>
      <c r="G783" s="158"/>
      <c r="K783" s="276"/>
      <c r="N783" s="276"/>
      <c r="T783" s="277"/>
      <c r="Z783" s="278"/>
    </row>
    <row r="784" ht="15.75" customHeight="1">
      <c r="D784" s="158"/>
      <c r="G784" s="158"/>
      <c r="K784" s="276"/>
      <c r="N784" s="276"/>
      <c r="T784" s="277"/>
      <c r="Z784" s="278"/>
    </row>
    <row r="785" ht="15.75" customHeight="1">
      <c r="D785" s="158"/>
      <c r="G785" s="158"/>
      <c r="K785" s="276"/>
      <c r="N785" s="276"/>
      <c r="T785" s="277"/>
      <c r="Z785" s="278"/>
    </row>
    <row r="786" ht="15.75" customHeight="1">
      <c r="D786" s="158"/>
      <c r="G786" s="158"/>
      <c r="K786" s="276"/>
      <c r="N786" s="276"/>
      <c r="T786" s="277"/>
      <c r="Z786" s="278"/>
    </row>
    <row r="787" ht="15.75" customHeight="1">
      <c r="D787" s="158"/>
      <c r="G787" s="158"/>
      <c r="K787" s="276"/>
      <c r="N787" s="276"/>
      <c r="T787" s="277"/>
      <c r="Z787" s="278"/>
    </row>
    <row r="788" ht="15.75" customHeight="1">
      <c r="D788" s="158"/>
      <c r="G788" s="158"/>
      <c r="K788" s="276"/>
      <c r="N788" s="276"/>
      <c r="T788" s="277"/>
      <c r="Z788" s="278"/>
    </row>
    <row r="789" ht="15.75" customHeight="1">
      <c r="D789" s="158"/>
      <c r="G789" s="158"/>
      <c r="K789" s="276"/>
      <c r="N789" s="276"/>
      <c r="T789" s="277"/>
      <c r="Z789" s="278"/>
    </row>
    <row r="790" ht="15.75" customHeight="1">
      <c r="D790" s="158"/>
      <c r="G790" s="158"/>
      <c r="K790" s="276"/>
      <c r="N790" s="276"/>
      <c r="T790" s="277"/>
      <c r="Z790" s="278"/>
    </row>
    <row r="791" ht="15.75" customHeight="1">
      <c r="D791" s="158"/>
      <c r="G791" s="158"/>
      <c r="K791" s="276"/>
      <c r="N791" s="276"/>
      <c r="T791" s="277"/>
      <c r="Z791" s="278"/>
    </row>
    <row r="792" ht="15.75" customHeight="1">
      <c r="D792" s="158"/>
      <c r="G792" s="158"/>
      <c r="K792" s="276"/>
      <c r="N792" s="276"/>
      <c r="T792" s="277"/>
      <c r="Z792" s="278"/>
    </row>
    <row r="793" ht="15.75" customHeight="1">
      <c r="D793" s="158"/>
      <c r="G793" s="158"/>
      <c r="K793" s="276"/>
      <c r="N793" s="276"/>
      <c r="T793" s="277"/>
      <c r="Z793" s="278"/>
    </row>
    <row r="794" ht="15.75" customHeight="1">
      <c r="D794" s="158"/>
      <c r="G794" s="158"/>
      <c r="K794" s="276"/>
      <c r="N794" s="276"/>
      <c r="T794" s="277"/>
      <c r="Z794" s="278"/>
    </row>
    <row r="795" ht="15.75" customHeight="1">
      <c r="D795" s="158"/>
      <c r="G795" s="158"/>
      <c r="K795" s="276"/>
      <c r="N795" s="276"/>
      <c r="T795" s="277"/>
      <c r="Z795" s="278"/>
    </row>
    <row r="796" ht="15.75" customHeight="1">
      <c r="D796" s="158"/>
      <c r="G796" s="158"/>
      <c r="K796" s="276"/>
      <c r="N796" s="276"/>
      <c r="T796" s="277"/>
      <c r="Z796" s="278"/>
    </row>
    <row r="797" ht="15.75" customHeight="1">
      <c r="D797" s="158"/>
      <c r="G797" s="158"/>
      <c r="K797" s="276"/>
      <c r="N797" s="276"/>
      <c r="T797" s="277"/>
      <c r="Z797" s="278"/>
    </row>
    <row r="798" ht="15.75" customHeight="1">
      <c r="D798" s="158"/>
      <c r="G798" s="158"/>
      <c r="K798" s="276"/>
      <c r="N798" s="276"/>
      <c r="T798" s="277"/>
      <c r="Z798" s="278"/>
    </row>
    <row r="799" ht="15.75" customHeight="1">
      <c r="D799" s="158"/>
      <c r="G799" s="158"/>
      <c r="K799" s="276"/>
      <c r="N799" s="276"/>
      <c r="T799" s="277"/>
      <c r="Z799" s="278"/>
    </row>
    <row r="800" ht="15.75" customHeight="1">
      <c r="D800" s="158"/>
      <c r="G800" s="158"/>
      <c r="K800" s="276"/>
      <c r="N800" s="276"/>
      <c r="T800" s="277"/>
      <c r="Z800" s="278"/>
    </row>
    <row r="801" ht="15.75" customHeight="1">
      <c r="D801" s="158"/>
      <c r="G801" s="158"/>
      <c r="K801" s="276"/>
      <c r="N801" s="276"/>
      <c r="T801" s="277"/>
      <c r="Z801" s="278"/>
    </row>
    <row r="802" ht="15.75" customHeight="1">
      <c r="D802" s="158"/>
      <c r="G802" s="158"/>
      <c r="K802" s="276"/>
      <c r="N802" s="276"/>
      <c r="T802" s="277"/>
      <c r="Z802" s="278"/>
    </row>
    <row r="803" ht="15.75" customHeight="1">
      <c r="D803" s="158"/>
      <c r="G803" s="158"/>
      <c r="K803" s="276"/>
      <c r="N803" s="276"/>
      <c r="T803" s="277"/>
      <c r="Z803" s="278"/>
    </row>
    <row r="804" ht="15.75" customHeight="1">
      <c r="D804" s="158"/>
      <c r="G804" s="158"/>
      <c r="K804" s="276"/>
      <c r="N804" s="276"/>
      <c r="T804" s="277"/>
      <c r="Z804" s="278"/>
    </row>
    <row r="805" ht="15.75" customHeight="1">
      <c r="D805" s="158"/>
      <c r="G805" s="158"/>
      <c r="K805" s="276"/>
      <c r="N805" s="276"/>
      <c r="T805" s="277"/>
      <c r="Z805" s="278"/>
    </row>
    <row r="806" ht="15.75" customHeight="1">
      <c r="D806" s="158"/>
      <c r="G806" s="158"/>
      <c r="K806" s="276"/>
      <c r="N806" s="276"/>
      <c r="T806" s="277"/>
      <c r="Z806" s="278"/>
    </row>
    <row r="807" ht="15.75" customHeight="1">
      <c r="D807" s="158"/>
      <c r="G807" s="158"/>
      <c r="K807" s="276"/>
      <c r="N807" s="276"/>
      <c r="T807" s="277"/>
      <c r="Z807" s="278"/>
    </row>
    <row r="808" ht="15.75" customHeight="1">
      <c r="D808" s="158"/>
      <c r="G808" s="158"/>
      <c r="K808" s="276"/>
      <c r="N808" s="276"/>
      <c r="T808" s="277"/>
      <c r="Z808" s="278"/>
    </row>
    <row r="809" ht="15.75" customHeight="1">
      <c r="D809" s="158"/>
      <c r="G809" s="158"/>
      <c r="K809" s="276"/>
      <c r="N809" s="276"/>
      <c r="T809" s="277"/>
      <c r="Z809" s="278"/>
    </row>
    <row r="810" ht="15.75" customHeight="1">
      <c r="D810" s="158"/>
      <c r="G810" s="158"/>
      <c r="K810" s="276"/>
      <c r="N810" s="276"/>
      <c r="T810" s="277"/>
      <c r="Z810" s="278"/>
    </row>
    <row r="811" ht="15.75" customHeight="1">
      <c r="D811" s="158"/>
      <c r="G811" s="158"/>
      <c r="K811" s="276"/>
      <c r="N811" s="276"/>
      <c r="T811" s="277"/>
      <c r="Z811" s="278"/>
    </row>
    <row r="812" ht="15.75" customHeight="1">
      <c r="D812" s="158"/>
      <c r="G812" s="158"/>
      <c r="K812" s="276"/>
      <c r="N812" s="276"/>
      <c r="T812" s="277"/>
      <c r="Z812" s="278"/>
    </row>
    <row r="813" ht="15.75" customHeight="1">
      <c r="D813" s="158"/>
      <c r="G813" s="158"/>
      <c r="K813" s="276"/>
      <c r="N813" s="276"/>
      <c r="T813" s="277"/>
      <c r="Z813" s="278"/>
    </row>
    <row r="814" ht="15.75" customHeight="1">
      <c r="D814" s="158"/>
      <c r="G814" s="158"/>
      <c r="K814" s="276"/>
      <c r="N814" s="276"/>
      <c r="T814" s="277"/>
      <c r="Z814" s="278"/>
    </row>
    <row r="815" ht="15.75" customHeight="1">
      <c r="D815" s="158"/>
      <c r="G815" s="158"/>
      <c r="K815" s="276"/>
      <c r="N815" s="276"/>
      <c r="T815" s="277"/>
      <c r="Z815" s="278"/>
    </row>
    <row r="816" ht="15.75" customHeight="1">
      <c r="D816" s="158"/>
      <c r="G816" s="158"/>
      <c r="K816" s="276"/>
      <c r="N816" s="276"/>
      <c r="T816" s="277"/>
      <c r="Z816" s="278"/>
    </row>
    <row r="817" ht="15.75" customHeight="1">
      <c r="D817" s="158"/>
      <c r="G817" s="158"/>
      <c r="K817" s="276"/>
      <c r="N817" s="276"/>
      <c r="T817" s="277"/>
      <c r="Z817" s="278"/>
    </row>
    <row r="818" ht="15.75" customHeight="1">
      <c r="D818" s="158"/>
      <c r="G818" s="158"/>
      <c r="K818" s="276"/>
      <c r="N818" s="276"/>
      <c r="T818" s="277"/>
      <c r="Z818" s="278"/>
    </row>
    <row r="819" ht="15.75" customHeight="1">
      <c r="D819" s="158"/>
      <c r="G819" s="158"/>
      <c r="K819" s="276"/>
      <c r="N819" s="276"/>
      <c r="T819" s="277"/>
      <c r="Z819" s="278"/>
    </row>
    <row r="820" ht="15.75" customHeight="1">
      <c r="D820" s="158"/>
      <c r="G820" s="158"/>
      <c r="K820" s="276"/>
      <c r="N820" s="276"/>
      <c r="T820" s="277"/>
      <c r="Z820" s="278"/>
    </row>
    <row r="821" ht="15.75" customHeight="1">
      <c r="D821" s="158"/>
      <c r="G821" s="158"/>
      <c r="K821" s="276"/>
      <c r="N821" s="276"/>
      <c r="T821" s="277"/>
      <c r="Z821" s="278"/>
    </row>
    <row r="822" ht="15.75" customHeight="1">
      <c r="D822" s="158"/>
      <c r="G822" s="158"/>
      <c r="K822" s="276"/>
      <c r="N822" s="276"/>
      <c r="T822" s="277"/>
      <c r="Z822" s="278"/>
    </row>
    <row r="823" ht="15.75" customHeight="1">
      <c r="D823" s="158"/>
      <c r="G823" s="158"/>
      <c r="K823" s="276"/>
      <c r="N823" s="276"/>
      <c r="T823" s="277"/>
      <c r="Z823" s="278"/>
    </row>
    <row r="824" ht="15.75" customHeight="1">
      <c r="D824" s="158"/>
      <c r="G824" s="158"/>
      <c r="K824" s="276"/>
      <c r="N824" s="276"/>
      <c r="T824" s="277"/>
      <c r="Z824" s="278"/>
    </row>
    <row r="825" ht="15.75" customHeight="1">
      <c r="D825" s="158"/>
      <c r="G825" s="158"/>
      <c r="K825" s="276"/>
      <c r="N825" s="276"/>
      <c r="T825" s="277"/>
      <c r="Z825" s="278"/>
    </row>
    <row r="826" ht="15.75" customHeight="1">
      <c r="D826" s="158"/>
      <c r="G826" s="158"/>
      <c r="K826" s="276"/>
      <c r="N826" s="276"/>
      <c r="T826" s="277"/>
      <c r="Z826" s="278"/>
    </row>
    <row r="827" ht="15.75" customHeight="1">
      <c r="D827" s="158"/>
      <c r="G827" s="158"/>
      <c r="K827" s="276"/>
      <c r="N827" s="276"/>
      <c r="T827" s="277"/>
      <c r="Z827" s="278"/>
    </row>
    <row r="828" ht="15.75" customHeight="1">
      <c r="D828" s="158"/>
      <c r="G828" s="158"/>
      <c r="K828" s="276"/>
      <c r="N828" s="276"/>
      <c r="T828" s="277"/>
      <c r="Z828" s="278"/>
    </row>
    <row r="829" ht="15.75" customHeight="1">
      <c r="D829" s="158"/>
      <c r="G829" s="158"/>
      <c r="K829" s="276"/>
      <c r="N829" s="276"/>
      <c r="T829" s="277"/>
      <c r="Z829" s="278"/>
    </row>
    <row r="830" ht="15.75" customHeight="1">
      <c r="D830" s="158"/>
      <c r="G830" s="158"/>
      <c r="K830" s="276"/>
      <c r="N830" s="276"/>
      <c r="T830" s="277"/>
      <c r="Z830" s="278"/>
    </row>
    <row r="831" ht="15.75" customHeight="1">
      <c r="D831" s="158"/>
      <c r="G831" s="158"/>
      <c r="K831" s="276"/>
      <c r="N831" s="276"/>
      <c r="T831" s="277"/>
      <c r="Z831" s="278"/>
    </row>
    <row r="832" ht="15.75" customHeight="1">
      <c r="D832" s="158"/>
      <c r="G832" s="158"/>
      <c r="K832" s="276"/>
      <c r="N832" s="276"/>
      <c r="T832" s="277"/>
      <c r="Z832" s="278"/>
    </row>
    <row r="833" ht="15.75" customHeight="1">
      <c r="D833" s="158"/>
      <c r="G833" s="158"/>
      <c r="K833" s="276"/>
      <c r="N833" s="276"/>
      <c r="T833" s="277"/>
      <c r="Z833" s="278"/>
    </row>
    <row r="834" ht="15.75" customHeight="1">
      <c r="D834" s="158"/>
      <c r="G834" s="158"/>
      <c r="K834" s="276"/>
      <c r="N834" s="276"/>
      <c r="T834" s="277"/>
      <c r="Z834" s="278"/>
    </row>
    <row r="835" ht="15.75" customHeight="1">
      <c r="D835" s="158"/>
      <c r="G835" s="158"/>
      <c r="K835" s="276"/>
      <c r="N835" s="276"/>
      <c r="T835" s="277"/>
      <c r="Z835" s="278"/>
    </row>
    <row r="836" ht="15.75" customHeight="1">
      <c r="D836" s="158"/>
      <c r="G836" s="158"/>
      <c r="K836" s="276"/>
      <c r="N836" s="276"/>
      <c r="T836" s="277"/>
      <c r="Z836" s="278"/>
    </row>
    <row r="837" ht="15.75" customHeight="1">
      <c r="D837" s="158"/>
      <c r="G837" s="158"/>
      <c r="K837" s="276"/>
      <c r="N837" s="276"/>
      <c r="T837" s="277"/>
      <c r="Z837" s="278"/>
    </row>
    <row r="838" ht="15.75" customHeight="1">
      <c r="D838" s="158"/>
      <c r="G838" s="158"/>
      <c r="K838" s="276"/>
      <c r="N838" s="276"/>
      <c r="T838" s="277"/>
      <c r="Z838" s="278"/>
    </row>
    <row r="839" ht="15.75" customHeight="1">
      <c r="D839" s="158"/>
      <c r="G839" s="158"/>
      <c r="K839" s="276"/>
      <c r="N839" s="276"/>
      <c r="T839" s="277"/>
      <c r="Z839" s="278"/>
    </row>
    <row r="840" ht="15.75" customHeight="1">
      <c r="D840" s="158"/>
      <c r="G840" s="158"/>
      <c r="K840" s="276"/>
      <c r="N840" s="276"/>
      <c r="T840" s="277"/>
      <c r="Z840" s="278"/>
    </row>
    <row r="841" ht="15.75" customHeight="1">
      <c r="D841" s="158"/>
      <c r="G841" s="158"/>
      <c r="K841" s="276"/>
      <c r="N841" s="276"/>
      <c r="T841" s="277"/>
      <c r="Z841" s="278"/>
    </row>
    <row r="842" ht="15.75" customHeight="1">
      <c r="D842" s="158"/>
      <c r="G842" s="158"/>
      <c r="K842" s="276"/>
      <c r="N842" s="276"/>
      <c r="T842" s="277"/>
      <c r="Z842" s="278"/>
    </row>
    <row r="843" ht="15.75" customHeight="1">
      <c r="D843" s="158"/>
      <c r="G843" s="158"/>
      <c r="K843" s="276"/>
      <c r="N843" s="276"/>
      <c r="T843" s="277"/>
      <c r="Z843" s="278"/>
    </row>
    <row r="844" ht="15.75" customHeight="1">
      <c r="D844" s="158"/>
      <c r="G844" s="158"/>
      <c r="K844" s="276"/>
      <c r="N844" s="276"/>
      <c r="T844" s="277"/>
      <c r="Z844" s="278"/>
    </row>
    <row r="845" ht="15.75" customHeight="1">
      <c r="D845" s="158"/>
      <c r="G845" s="158"/>
      <c r="K845" s="276"/>
      <c r="N845" s="276"/>
      <c r="T845" s="277"/>
      <c r="Z845" s="278"/>
    </row>
    <row r="846" ht="15.75" customHeight="1">
      <c r="D846" s="158"/>
      <c r="G846" s="158"/>
      <c r="K846" s="276"/>
      <c r="N846" s="276"/>
      <c r="T846" s="277"/>
      <c r="Z846" s="278"/>
    </row>
    <row r="847" ht="15.75" customHeight="1">
      <c r="D847" s="158"/>
      <c r="G847" s="158"/>
      <c r="K847" s="276"/>
      <c r="N847" s="276"/>
      <c r="T847" s="277"/>
      <c r="Z847" s="278"/>
    </row>
    <row r="848" ht="15.75" customHeight="1">
      <c r="D848" s="158"/>
      <c r="G848" s="158"/>
      <c r="K848" s="276"/>
      <c r="N848" s="276"/>
      <c r="T848" s="277"/>
      <c r="Z848" s="278"/>
    </row>
    <row r="849" ht="15.75" customHeight="1">
      <c r="D849" s="158"/>
      <c r="G849" s="158"/>
      <c r="K849" s="276"/>
      <c r="N849" s="276"/>
      <c r="T849" s="277"/>
      <c r="Z849" s="278"/>
    </row>
    <row r="850" ht="15.75" customHeight="1">
      <c r="D850" s="158"/>
      <c r="G850" s="158"/>
      <c r="K850" s="276"/>
      <c r="N850" s="276"/>
      <c r="T850" s="277"/>
      <c r="Z850" s="278"/>
    </row>
    <row r="851" ht="15.75" customHeight="1">
      <c r="D851" s="158"/>
      <c r="G851" s="158"/>
      <c r="K851" s="276"/>
      <c r="N851" s="276"/>
      <c r="T851" s="277"/>
      <c r="Z851" s="278"/>
    </row>
    <row r="852" ht="15.75" customHeight="1">
      <c r="D852" s="158"/>
      <c r="G852" s="158"/>
      <c r="K852" s="276"/>
      <c r="N852" s="276"/>
      <c r="T852" s="277"/>
      <c r="Z852" s="278"/>
    </row>
    <row r="853" ht="15.75" customHeight="1">
      <c r="D853" s="158"/>
      <c r="G853" s="158"/>
      <c r="K853" s="276"/>
      <c r="N853" s="276"/>
      <c r="T853" s="277"/>
      <c r="Z853" s="278"/>
    </row>
    <row r="854" ht="15.75" customHeight="1">
      <c r="D854" s="158"/>
      <c r="G854" s="158"/>
      <c r="K854" s="276"/>
      <c r="N854" s="276"/>
      <c r="T854" s="277"/>
      <c r="Z854" s="278"/>
    </row>
    <row r="855" ht="15.75" customHeight="1">
      <c r="D855" s="158"/>
      <c r="G855" s="158"/>
      <c r="K855" s="276"/>
      <c r="N855" s="276"/>
      <c r="T855" s="277"/>
      <c r="Z855" s="278"/>
    </row>
    <row r="856" ht="15.75" customHeight="1">
      <c r="D856" s="158"/>
      <c r="G856" s="158"/>
      <c r="K856" s="276"/>
      <c r="N856" s="276"/>
      <c r="T856" s="277"/>
      <c r="Z856" s="278"/>
    </row>
    <row r="857" ht="15.75" customHeight="1">
      <c r="D857" s="158"/>
      <c r="G857" s="158"/>
      <c r="K857" s="276"/>
      <c r="N857" s="276"/>
      <c r="T857" s="277"/>
      <c r="Z857" s="278"/>
    </row>
    <row r="858" ht="15.75" customHeight="1">
      <c r="D858" s="158"/>
      <c r="G858" s="158"/>
      <c r="K858" s="276"/>
      <c r="N858" s="276"/>
      <c r="T858" s="277"/>
      <c r="Z858" s="278"/>
    </row>
    <row r="859" ht="15.75" customHeight="1">
      <c r="D859" s="158"/>
      <c r="G859" s="158"/>
      <c r="K859" s="276"/>
      <c r="N859" s="276"/>
      <c r="T859" s="277"/>
      <c r="Z859" s="278"/>
    </row>
    <row r="860" ht="15.75" customHeight="1">
      <c r="D860" s="158"/>
      <c r="G860" s="158"/>
      <c r="K860" s="276"/>
      <c r="N860" s="276"/>
      <c r="T860" s="277"/>
      <c r="Z860" s="278"/>
    </row>
    <row r="861" ht="15.75" customHeight="1">
      <c r="D861" s="158"/>
      <c r="G861" s="158"/>
      <c r="K861" s="276"/>
      <c r="N861" s="276"/>
      <c r="T861" s="277"/>
      <c r="Z861" s="278"/>
    </row>
    <row r="862" ht="15.75" customHeight="1">
      <c r="D862" s="158"/>
      <c r="G862" s="158"/>
      <c r="K862" s="276"/>
      <c r="N862" s="276"/>
      <c r="T862" s="277"/>
      <c r="Z862" s="278"/>
    </row>
    <row r="863" ht="15.75" customHeight="1">
      <c r="D863" s="158"/>
      <c r="G863" s="158"/>
      <c r="K863" s="276"/>
      <c r="N863" s="276"/>
      <c r="T863" s="277"/>
      <c r="Z863" s="278"/>
    </row>
    <row r="864" ht="15.75" customHeight="1">
      <c r="D864" s="158"/>
      <c r="G864" s="158"/>
      <c r="K864" s="276"/>
      <c r="N864" s="276"/>
      <c r="T864" s="277"/>
      <c r="Z864" s="278"/>
    </row>
    <row r="865" ht="15.75" customHeight="1">
      <c r="D865" s="158"/>
      <c r="G865" s="158"/>
      <c r="K865" s="276"/>
      <c r="N865" s="276"/>
      <c r="T865" s="277"/>
      <c r="Z865" s="278"/>
    </row>
    <row r="866" ht="15.75" customHeight="1">
      <c r="D866" s="158"/>
      <c r="G866" s="158"/>
      <c r="K866" s="276"/>
      <c r="N866" s="276"/>
      <c r="T866" s="277"/>
      <c r="Z866" s="278"/>
    </row>
    <row r="867" ht="15.75" customHeight="1">
      <c r="D867" s="158"/>
      <c r="G867" s="158"/>
      <c r="K867" s="276"/>
      <c r="N867" s="276"/>
      <c r="T867" s="277"/>
      <c r="Z867" s="278"/>
    </row>
    <row r="868" ht="15.75" customHeight="1">
      <c r="D868" s="158"/>
      <c r="G868" s="158"/>
      <c r="K868" s="276"/>
      <c r="N868" s="276"/>
      <c r="T868" s="277"/>
      <c r="Z868" s="278"/>
    </row>
    <row r="869" ht="15.75" customHeight="1">
      <c r="D869" s="158"/>
      <c r="G869" s="158"/>
      <c r="K869" s="276"/>
      <c r="N869" s="276"/>
      <c r="T869" s="277"/>
      <c r="Z869" s="278"/>
    </row>
    <row r="870" ht="15.75" customHeight="1">
      <c r="D870" s="158"/>
      <c r="G870" s="158"/>
      <c r="K870" s="276"/>
      <c r="N870" s="276"/>
      <c r="T870" s="277"/>
      <c r="Z870" s="278"/>
    </row>
    <row r="871" ht="15.75" customHeight="1">
      <c r="D871" s="158"/>
      <c r="G871" s="158"/>
      <c r="K871" s="276"/>
      <c r="N871" s="276"/>
      <c r="T871" s="277"/>
      <c r="Z871" s="278"/>
    </row>
    <row r="872" ht="15.75" customHeight="1">
      <c r="D872" s="158"/>
      <c r="G872" s="158"/>
      <c r="K872" s="276"/>
      <c r="N872" s="276"/>
      <c r="T872" s="277"/>
      <c r="Z872" s="278"/>
    </row>
    <row r="873" ht="15.75" customHeight="1">
      <c r="D873" s="158"/>
      <c r="G873" s="158"/>
      <c r="K873" s="276"/>
      <c r="N873" s="276"/>
      <c r="T873" s="277"/>
      <c r="Z873" s="278"/>
    </row>
    <row r="874" ht="15.75" customHeight="1">
      <c r="D874" s="158"/>
      <c r="G874" s="158"/>
      <c r="K874" s="276"/>
      <c r="N874" s="276"/>
      <c r="T874" s="277"/>
      <c r="Z874" s="278"/>
    </row>
    <row r="875" ht="15.75" customHeight="1">
      <c r="D875" s="158"/>
      <c r="G875" s="158"/>
      <c r="K875" s="276"/>
      <c r="N875" s="276"/>
      <c r="T875" s="277"/>
      <c r="Z875" s="278"/>
    </row>
    <row r="876" ht="15.75" customHeight="1">
      <c r="D876" s="158"/>
      <c r="G876" s="158"/>
      <c r="K876" s="276"/>
      <c r="N876" s="276"/>
      <c r="T876" s="277"/>
      <c r="Z876" s="278"/>
    </row>
    <row r="877" ht="15.75" customHeight="1">
      <c r="D877" s="158"/>
      <c r="G877" s="158"/>
      <c r="K877" s="276"/>
      <c r="N877" s="276"/>
      <c r="T877" s="277"/>
      <c r="Z877" s="278"/>
    </row>
    <row r="878" ht="15.75" customHeight="1">
      <c r="D878" s="158"/>
      <c r="G878" s="158"/>
      <c r="K878" s="276"/>
      <c r="N878" s="276"/>
      <c r="T878" s="277"/>
      <c r="Z878" s="278"/>
    </row>
    <row r="879" ht="15.75" customHeight="1">
      <c r="D879" s="158"/>
      <c r="G879" s="158"/>
      <c r="K879" s="276"/>
      <c r="N879" s="276"/>
      <c r="T879" s="277"/>
      <c r="Z879" s="278"/>
    </row>
    <row r="880" ht="15.75" customHeight="1">
      <c r="D880" s="158"/>
      <c r="G880" s="158"/>
      <c r="K880" s="276"/>
      <c r="N880" s="276"/>
      <c r="T880" s="277"/>
      <c r="Z880" s="278"/>
    </row>
    <row r="881" ht="15.75" customHeight="1">
      <c r="D881" s="158"/>
      <c r="G881" s="158"/>
      <c r="K881" s="276"/>
      <c r="N881" s="276"/>
      <c r="T881" s="277"/>
      <c r="Z881" s="278"/>
    </row>
    <row r="882" ht="15.75" customHeight="1">
      <c r="D882" s="158"/>
      <c r="G882" s="158"/>
      <c r="K882" s="276"/>
      <c r="N882" s="276"/>
      <c r="T882" s="277"/>
      <c r="Z882" s="278"/>
    </row>
    <row r="883" ht="15.75" customHeight="1">
      <c r="D883" s="158"/>
      <c r="G883" s="158"/>
      <c r="K883" s="276"/>
      <c r="N883" s="276"/>
      <c r="T883" s="277"/>
      <c r="Z883" s="278"/>
    </row>
    <row r="884" ht="15.75" customHeight="1">
      <c r="D884" s="158"/>
      <c r="G884" s="158"/>
      <c r="K884" s="276"/>
      <c r="N884" s="276"/>
      <c r="T884" s="277"/>
      <c r="Z884" s="278"/>
    </row>
    <row r="885" ht="15.75" customHeight="1">
      <c r="D885" s="158"/>
      <c r="G885" s="158"/>
      <c r="K885" s="276"/>
      <c r="N885" s="276"/>
      <c r="T885" s="277"/>
      <c r="Z885" s="278"/>
    </row>
    <row r="886" ht="15.75" customHeight="1">
      <c r="D886" s="158"/>
      <c r="G886" s="158"/>
      <c r="K886" s="276"/>
      <c r="N886" s="276"/>
      <c r="T886" s="277"/>
      <c r="Z886" s="278"/>
    </row>
    <row r="887" ht="15.75" customHeight="1">
      <c r="D887" s="158"/>
      <c r="G887" s="158"/>
      <c r="K887" s="276"/>
      <c r="N887" s="276"/>
      <c r="T887" s="277"/>
      <c r="Z887" s="278"/>
    </row>
    <row r="888" ht="15.75" customHeight="1">
      <c r="D888" s="158"/>
      <c r="G888" s="158"/>
      <c r="K888" s="276"/>
      <c r="N888" s="276"/>
      <c r="T888" s="277"/>
      <c r="Z888" s="278"/>
    </row>
    <row r="889" ht="15.75" customHeight="1">
      <c r="D889" s="158"/>
      <c r="G889" s="158"/>
      <c r="K889" s="276"/>
      <c r="N889" s="276"/>
      <c r="T889" s="277"/>
      <c r="Z889" s="278"/>
    </row>
    <row r="890" ht="15.75" customHeight="1">
      <c r="D890" s="158"/>
      <c r="G890" s="158"/>
      <c r="K890" s="276"/>
      <c r="N890" s="276"/>
      <c r="T890" s="277"/>
      <c r="Z890" s="278"/>
    </row>
    <row r="891" ht="15.75" customHeight="1">
      <c r="D891" s="158"/>
      <c r="G891" s="158"/>
      <c r="K891" s="276"/>
      <c r="N891" s="276"/>
      <c r="T891" s="277"/>
      <c r="Z891" s="278"/>
    </row>
    <row r="892" ht="15.75" customHeight="1">
      <c r="D892" s="158"/>
      <c r="G892" s="158"/>
      <c r="K892" s="276"/>
      <c r="N892" s="276"/>
      <c r="T892" s="277"/>
      <c r="Z892" s="278"/>
    </row>
    <row r="893" ht="15.75" customHeight="1">
      <c r="D893" s="158"/>
      <c r="G893" s="158"/>
      <c r="K893" s="276"/>
      <c r="N893" s="276"/>
      <c r="T893" s="277"/>
      <c r="Z893" s="278"/>
    </row>
    <row r="894" ht="15.75" customHeight="1">
      <c r="D894" s="158"/>
      <c r="G894" s="158"/>
      <c r="K894" s="276"/>
      <c r="N894" s="276"/>
      <c r="T894" s="277"/>
      <c r="Z894" s="278"/>
    </row>
    <row r="895" ht="15.75" customHeight="1">
      <c r="D895" s="158"/>
      <c r="G895" s="158"/>
      <c r="K895" s="276"/>
      <c r="N895" s="276"/>
      <c r="T895" s="277"/>
      <c r="Z895" s="278"/>
    </row>
    <row r="896" ht="15.75" customHeight="1">
      <c r="D896" s="158"/>
      <c r="G896" s="158"/>
      <c r="K896" s="276"/>
      <c r="N896" s="276"/>
      <c r="T896" s="277"/>
      <c r="Z896" s="278"/>
    </row>
    <row r="897" ht="15.75" customHeight="1">
      <c r="D897" s="158"/>
      <c r="G897" s="158"/>
      <c r="K897" s="276"/>
      <c r="N897" s="276"/>
      <c r="T897" s="277"/>
      <c r="Z897" s="278"/>
    </row>
    <row r="898" ht="15.75" customHeight="1">
      <c r="D898" s="158"/>
      <c r="G898" s="158"/>
      <c r="K898" s="276"/>
      <c r="N898" s="276"/>
      <c r="T898" s="277"/>
      <c r="Z898" s="278"/>
    </row>
    <row r="899" ht="15.75" customHeight="1">
      <c r="D899" s="158"/>
      <c r="G899" s="158"/>
      <c r="K899" s="276"/>
      <c r="N899" s="276"/>
      <c r="T899" s="277"/>
      <c r="Z899" s="278"/>
    </row>
    <row r="900" ht="15.75" customHeight="1">
      <c r="D900" s="158"/>
      <c r="G900" s="158"/>
      <c r="K900" s="276"/>
      <c r="N900" s="276"/>
      <c r="T900" s="277"/>
      <c r="Z900" s="278"/>
    </row>
    <row r="901" ht="15.75" customHeight="1">
      <c r="D901" s="158"/>
      <c r="G901" s="158"/>
      <c r="K901" s="276"/>
      <c r="N901" s="276"/>
      <c r="T901" s="277"/>
      <c r="Z901" s="278"/>
    </row>
    <row r="902" ht="15.75" customHeight="1">
      <c r="D902" s="158"/>
      <c r="G902" s="158"/>
      <c r="K902" s="276"/>
      <c r="N902" s="276"/>
      <c r="T902" s="277"/>
      <c r="Z902" s="278"/>
    </row>
    <row r="903" ht="15.75" customHeight="1">
      <c r="D903" s="158"/>
      <c r="G903" s="158"/>
      <c r="K903" s="276"/>
      <c r="N903" s="276"/>
      <c r="T903" s="277"/>
      <c r="Z903" s="278"/>
    </row>
    <row r="904" ht="15.75" customHeight="1">
      <c r="D904" s="158"/>
      <c r="G904" s="158"/>
      <c r="K904" s="276"/>
      <c r="N904" s="276"/>
      <c r="T904" s="277"/>
      <c r="Z904" s="278"/>
    </row>
    <row r="905" ht="15.75" customHeight="1">
      <c r="D905" s="158"/>
      <c r="G905" s="158"/>
      <c r="K905" s="276"/>
      <c r="N905" s="276"/>
      <c r="T905" s="277"/>
      <c r="Z905" s="278"/>
    </row>
    <row r="906" ht="15.75" customHeight="1">
      <c r="D906" s="158"/>
      <c r="G906" s="158"/>
      <c r="K906" s="276"/>
      <c r="N906" s="276"/>
      <c r="T906" s="277"/>
      <c r="Z906" s="278"/>
    </row>
    <row r="907" ht="15.75" customHeight="1">
      <c r="D907" s="158"/>
      <c r="G907" s="158"/>
      <c r="K907" s="276"/>
      <c r="N907" s="276"/>
      <c r="T907" s="277"/>
      <c r="Z907" s="278"/>
    </row>
    <row r="908" ht="15.75" customHeight="1">
      <c r="D908" s="158"/>
      <c r="G908" s="158"/>
      <c r="K908" s="276"/>
      <c r="N908" s="276"/>
      <c r="T908" s="277"/>
      <c r="Z908" s="278"/>
    </row>
    <row r="909" ht="15.75" customHeight="1">
      <c r="D909" s="158"/>
      <c r="G909" s="158"/>
      <c r="K909" s="276"/>
      <c r="N909" s="276"/>
      <c r="T909" s="277"/>
      <c r="Z909" s="278"/>
    </row>
    <row r="910" ht="15.75" customHeight="1">
      <c r="D910" s="158"/>
      <c r="G910" s="158"/>
      <c r="K910" s="276"/>
      <c r="N910" s="276"/>
      <c r="T910" s="277"/>
      <c r="Z910" s="278"/>
    </row>
    <row r="911" ht="15.75" customHeight="1">
      <c r="D911" s="158"/>
      <c r="G911" s="158"/>
      <c r="K911" s="276"/>
      <c r="N911" s="276"/>
      <c r="T911" s="277"/>
      <c r="Z911" s="278"/>
    </row>
    <row r="912" ht="15.75" customHeight="1">
      <c r="D912" s="158"/>
      <c r="G912" s="158"/>
      <c r="K912" s="276"/>
      <c r="N912" s="276"/>
      <c r="T912" s="277"/>
      <c r="Z912" s="278"/>
    </row>
    <row r="913" ht="15.75" customHeight="1">
      <c r="D913" s="158"/>
      <c r="G913" s="158"/>
      <c r="K913" s="276"/>
      <c r="N913" s="276"/>
      <c r="T913" s="277"/>
      <c r="Z913" s="278"/>
    </row>
    <row r="914" ht="15.75" customHeight="1">
      <c r="D914" s="158"/>
      <c r="G914" s="158"/>
      <c r="K914" s="276"/>
      <c r="N914" s="276"/>
      <c r="T914" s="277"/>
      <c r="Z914" s="278"/>
    </row>
    <row r="915" ht="15.75" customHeight="1">
      <c r="D915" s="158"/>
      <c r="G915" s="158"/>
      <c r="K915" s="276"/>
      <c r="N915" s="276"/>
      <c r="T915" s="277"/>
      <c r="Z915" s="278"/>
    </row>
    <row r="916" ht="15.75" customHeight="1">
      <c r="D916" s="158"/>
      <c r="G916" s="158"/>
      <c r="K916" s="276"/>
      <c r="N916" s="276"/>
      <c r="T916" s="277"/>
      <c r="Z916" s="278"/>
    </row>
    <row r="917" ht="15.75" customHeight="1">
      <c r="D917" s="158"/>
      <c r="G917" s="158"/>
      <c r="K917" s="276"/>
      <c r="N917" s="276"/>
      <c r="T917" s="277"/>
      <c r="Z917" s="278"/>
    </row>
    <row r="918" ht="15.75" customHeight="1">
      <c r="D918" s="158"/>
      <c r="G918" s="158"/>
      <c r="K918" s="276"/>
      <c r="N918" s="276"/>
      <c r="T918" s="277"/>
      <c r="Z918" s="278"/>
    </row>
    <row r="919" ht="15.75" customHeight="1">
      <c r="D919" s="158"/>
      <c r="G919" s="158"/>
      <c r="K919" s="276"/>
      <c r="N919" s="276"/>
      <c r="T919" s="277"/>
      <c r="Z919" s="278"/>
    </row>
    <row r="920" ht="15.75" customHeight="1">
      <c r="D920" s="158"/>
      <c r="G920" s="158"/>
      <c r="K920" s="276"/>
      <c r="N920" s="276"/>
      <c r="T920" s="277"/>
      <c r="Z920" s="278"/>
    </row>
    <row r="921" ht="15.75" customHeight="1">
      <c r="D921" s="158"/>
      <c r="G921" s="158"/>
      <c r="K921" s="276"/>
      <c r="N921" s="276"/>
      <c r="T921" s="277"/>
      <c r="Z921" s="278"/>
    </row>
    <row r="922" ht="15.75" customHeight="1">
      <c r="D922" s="158"/>
      <c r="G922" s="158"/>
      <c r="K922" s="276"/>
      <c r="N922" s="276"/>
      <c r="T922" s="277"/>
      <c r="Z922" s="278"/>
    </row>
    <row r="923" ht="15.75" customHeight="1">
      <c r="D923" s="158"/>
      <c r="G923" s="158"/>
      <c r="K923" s="276"/>
      <c r="N923" s="276"/>
      <c r="T923" s="277"/>
      <c r="Z923" s="278"/>
    </row>
    <row r="924" ht="15.75" customHeight="1">
      <c r="D924" s="158"/>
      <c r="G924" s="158"/>
      <c r="K924" s="276"/>
      <c r="N924" s="276"/>
      <c r="T924" s="277"/>
      <c r="Z924" s="278"/>
    </row>
    <row r="925" ht="15.75" customHeight="1">
      <c r="D925" s="158"/>
      <c r="G925" s="158"/>
      <c r="K925" s="276"/>
      <c r="N925" s="276"/>
      <c r="T925" s="277"/>
      <c r="Z925" s="278"/>
    </row>
    <row r="926" ht="15.75" customHeight="1">
      <c r="D926" s="158"/>
      <c r="G926" s="158"/>
      <c r="K926" s="276"/>
      <c r="N926" s="276"/>
      <c r="T926" s="277"/>
      <c r="Z926" s="278"/>
    </row>
    <row r="927" ht="15.75" customHeight="1">
      <c r="D927" s="158"/>
      <c r="G927" s="158"/>
      <c r="K927" s="276"/>
      <c r="N927" s="276"/>
      <c r="T927" s="277"/>
      <c r="Z927" s="278"/>
    </row>
    <row r="928" ht="15.75" customHeight="1">
      <c r="D928" s="158"/>
      <c r="G928" s="158"/>
      <c r="K928" s="276"/>
      <c r="N928" s="276"/>
      <c r="T928" s="277"/>
      <c r="Z928" s="278"/>
    </row>
    <row r="929" ht="15.75" customHeight="1">
      <c r="D929" s="158"/>
      <c r="G929" s="158"/>
      <c r="K929" s="276"/>
      <c r="N929" s="276"/>
      <c r="T929" s="277"/>
      <c r="Z929" s="278"/>
    </row>
    <row r="930" ht="15.75" customHeight="1">
      <c r="D930" s="158"/>
      <c r="G930" s="158"/>
      <c r="K930" s="276"/>
      <c r="N930" s="276"/>
      <c r="T930" s="277"/>
      <c r="Z930" s="278"/>
    </row>
    <row r="931" ht="15.75" customHeight="1">
      <c r="D931" s="158"/>
      <c r="G931" s="158"/>
      <c r="K931" s="276"/>
      <c r="N931" s="276"/>
      <c r="T931" s="277"/>
      <c r="Z931" s="278"/>
    </row>
    <row r="932" ht="15.75" customHeight="1">
      <c r="D932" s="158"/>
      <c r="G932" s="158"/>
      <c r="K932" s="276"/>
      <c r="N932" s="276"/>
      <c r="T932" s="277"/>
      <c r="Z932" s="278"/>
    </row>
    <row r="933" ht="15.75" customHeight="1">
      <c r="D933" s="158"/>
      <c r="G933" s="158"/>
      <c r="K933" s="276"/>
      <c r="N933" s="276"/>
      <c r="T933" s="277"/>
      <c r="Z933" s="278"/>
    </row>
    <row r="934" ht="15.75" customHeight="1">
      <c r="D934" s="158"/>
      <c r="G934" s="158"/>
      <c r="K934" s="276"/>
      <c r="N934" s="276"/>
      <c r="T934" s="277"/>
      <c r="Z934" s="278"/>
    </row>
    <row r="935" ht="15.75" customHeight="1">
      <c r="D935" s="158"/>
      <c r="G935" s="158"/>
      <c r="K935" s="276"/>
      <c r="N935" s="276"/>
      <c r="T935" s="277"/>
      <c r="Z935" s="278"/>
    </row>
    <row r="936" ht="15.75" customHeight="1">
      <c r="D936" s="158"/>
      <c r="G936" s="158"/>
      <c r="K936" s="276"/>
      <c r="N936" s="276"/>
      <c r="T936" s="277"/>
      <c r="Z936" s="278"/>
    </row>
    <row r="937" ht="15.75" customHeight="1">
      <c r="D937" s="158"/>
      <c r="G937" s="158"/>
      <c r="K937" s="276"/>
      <c r="N937" s="276"/>
      <c r="T937" s="277"/>
      <c r="Z937" s="278"/>
    </row>
    <row r="938" ht="15.75" customHeight="1">
      <c r="D938" s="158"/>
      <c r="G938" s="158"/>
      <c r="K938" s="276"/>
      <c r="N938" s="276"/>
      <c r="T938" s="277"/>
      <c r="Z938" s="278"/>
    </row>
    <row r="939" ht="15.75" customHeight="1">
      <c r="D939" s="158"/>
      <c r="G939" s="158"/>
      <c r="K939" s="276"/>
      <c r="N939" s="276"/>
      <c r="T939" s="277"/>
      <c r="Z939" s="278"/>
    </row>
    <row r="940" ht="15.75" customHeight="1">
      <c r="D940" s="158"/>
      <c r="G940" s="158"/>
      <c r="K940" s="276"/>
      <c r="N940" s="276"/>
      <c r="T940" s="277"/>
      <c r="Z940" s="278"/>
    </row>
    <row r="941" ht="15.75" customHeight="1">
      <c r="D941" s="158"/>
      <c r="G941" s="158"/>
      <c r="K941" s="276"/>
      <c r="N941" s="276"/>
      <c r="T941" s="277"/>
      <c r="Z941" s="278"/>
    </row>
    <row r="942" ht="15.75" customHeight="1">
      <c r="D942" s="158"/>
      <c r="G942" s="158"/>
      <c r="K942" s="276"/>
      <c r="N942" s="276"/>
      <c r="T942" s="277"/>
      <c r="Z942" s="278"/>
    </row>
    <row r="943" ht="15.75" customHeight="1">
      <c r="D943" s="158"/>
      <c r="G943" s="158"/>
      <c r="K943" s="276"/>
      <c r="N943" s="276"/>
      <c r="T943" s="277"/>
      <c r="Z943" s="278"/>
    </row>
    <row r="944" ht="15.75" customHeight="1">
      <c r="D944" s="158"/>
      <c r="G944" s="158"/>
      <c r="K944" s="276"/>
      <c r="N944" s="276"/>
      <c r="T944" s="277"/>
      <c r="Z944" s="278"/>
    </row>
    <row r="945" ht="15.75" customHeight="1">
      <c r="D945" s="158"/>
      <c r="G945" s="158"/>
      <c r="K945" s="276"/>
      <c r="N945" s="276"/>
      <c r="T945" s="277"/>
      <c r="Z945" s="278"/>
    </row>
    <row r="946" ht="15.75" customHeight="1">
      <c r="D946" s="158"/>
      <c r="G946" s="158"/>
      <c r="K946" s="276"/>
      <c r="N946" s="276"/>
      <c r="T946" s="277"/>
      <c r="Z946" s="278"/>
    </row>
    <row r="947" ht="15.75" customHeight="1">
      <c r="D947" s="158"/>
      <c r="G947" s="158"/>
      <c r="K947" s="276"/>
      <c r="N947" s="276"/>
      <c r="T947" s="277"/>
      <c r="Z947" s="278"/>
    </row>
    <row r="948" ht="15.75" customHeight="1">
      <c r="D948" s="158"/>
      <c r="G948" s="158"/>
      <c r="K948" s="276"/>
      <c r="N948" s="276"/>
      <c r="T948" s="277"/>
      <c r="Z948" s="278"/>
    </row>
    <row r="949" ht="15.75" customHeight="1">
      <c r="D949" s="158"/>
      <c r="G949" s="158"/>
      <c r="K949" s="276"/>
      <c r="N949" s="276"/>
      <c r="T949" s="277"/>
      <c r="Z949" s="278"/>
    </row>
    <row r="950" ht="15.75" customHeight="1">
      <c r="D950" s="158"/>
      <c r="G950" s="158"/>
      <c r="K950" s="276"/>
      <c r="N950" s="276"/>
      <c r="T950" s="277"/>
      <c r="Z950" s="278"/>
    </row>
    <row r="951" ht="15.75" customHeight="1">
      <c r="D951" s="158"/>
      <c r="G951" s="158"/>
      <c r="K951" s="276"/>
      <c r="N951" s="276"/>
      <c r="T951" s="277"/>
      <c r="Z951" s="278"/>
    </row>
    <row r="952" ht="15.75" customHeight="1">
      <c r="D952" s="158"/>
      <c r="G952" s="158"/>
      <c r="K952" s="276"/>
      <c r="N952" s="276"/>
      <c r="T952" s="277"/>
      <c r="Z952" s="278"/>
    </row>
    <row r="953" ht="15.75" customHeight="1">
      <c r="D953" s="158"/>
      <c r="G953" s="158"/>
      <c r="K953" s="276"/>
      <c r="N953" s="276"/>
      <c r="T953" s="277"/>
      <c r="Z953" s="278"/>
    </row>
    <row r="954" ht="15.75" customHeight="1">
      <c r="D954" s="158"/>
      <c r="G954" s="158"/>
      <c r="K954" s="276"/>
      <c r="N954" s="276"/>
      <c r="T954" s="277"/>
      <c r="Z954" s="278"/>
    </row>
    <row r="955" ht="15.75" customHeight="1">
      <c r="D955" s="158"/>
      <c r="G955" s="158"/>
      <c r="K955" s="276"/>
      <c r="N955" s="276"/>
      <c r="T955" s="277"/>
      <c r="Z955" s="278"/>
    </row>
    <row r="956" ht="15.75" customHeight="1">
      <c r="D956" s="158"/>
      <c r="G956" s="158"/>
      <c r="K956" s="276"/>
      <c r="N956" s="276"/>
      <c r="T956" s="277"/>
      <c r="Z956" s="278"/>
    </row>
    <row r="957" ht="15.75" customHeight="1">
      <c r="D957" s="158"/>
      <c r="G957" s="158"/>
      <c r="K957" s="276"/>
      <c r="N957" s="276"/>
      <c r="T957" s="277"/>
      <c r="Z957" s="278"/>
    </row>
    <row r="958" ht="15.75" customHeight="1">
      <c r="D958" s="158"/>
      <c r="G958" s="158"/>
      <c r="K958" s="276"/>
      <c r="N958" s="276"/>
      <c r="T958" s="277"/>
      <c r="Z958" s="278"/>
    </row>
    <row r="959" ht="15.75" customHeight="1">
      <c r="D959" s="158"/>
      <c r="G959" s="158"/>
      <c r="K959" s="276"/>
      <c r="N959" s="276"/>
      <c r="T959" s="277"/>
      <c r="Z959" s="278"/>
    </row>
    <row r="960" ht="15.75" customHeight="1">
      <c r="D960" s="158"/>
      <c r="G960" s="158"/>
      <c r="K960" s="276"/>
      <c r="N960" s="276"/>
      <c r="T960" s="277"/>
      <c r="Z960" s="278"/>
    </row>
    <row r="961" ht="15.75" customHeight="1">
      <c r="D961" s="158"/>
      <c r="G961" s="158"/>
      <c r="K961" s="276"/>
      <c r="N961" s="276"/>
      <c r="T961" s="277"/>
      <c r="Z961" s="278"/>
    </row>
    <row r="962" ht="15.75" customHeight="1">
      <c r="D962" s="158"/>
      <c r="G962" s="158"/>
      <c r="K962" s="276"/>
      <c r="N962" s="276"/>
      <c r="T962" s="277"/>
      <c r="Z962" s="278"/>
    </row>
    <row r="963" ht="15.75" customHeight="1">
      <c r="D963" s="158"/>
      <c r="G963" s="158"/>
      <c r="K963" s="276"/>
      <c r="N963" s="276"/>
      <c r="T963" s="277"/>
      <c r="Z963" s="278"/>
    </row>
    <row r="964" ht="15.75" customHeight="1">
      <c r="D964" s="158"/>
      <c r="G964" s="158"/>
      <c r="K964" s="276"/>
      <c r="N964" s="276"/>
      <c r="T964" s="277"/>
      <c r="Z964" s="278"/>
    </row>
    <row r="965" ht="15.75" customHeight="1">
      <c r="D965" s="158"/>
      <c r="G965" s="158"/>
      <c r="K965" s="276"/>
      <c r="N965" s="276"/>
      <c r="T965" s="277"/>
      <c r="Z965" s="278"/>
    </row>
    <row r="966" ht="15.75" customHeight="1">
      <c r="D966" s="158"/>
      <c r="G966" s="158"/>
      <c r="K966" s="276"/>
      <c r="N966" s="276"/>
      <c r="T966" s="277"/>
      <c r="Z966" s="278"/>
    </row>
    <row r="967" ht="15.75" customHeight="1">
      <c r="D967" s="158"/>
      <c r="G967" s="158"/>
      <c r="K967" s="276"/>
      <c r="N967" s="276"/>
      <c r="T967" s="277"/>
      <c r="Z967" s="278"/>
    </row>
    <row r="968" ht="15.75" customHeight="1">
      <c r="D968" s="158"/>
      <c r="G968" s="158"/>
      <c r="K968" s="276"/>
      <c r="N968" s="276"/>
      <c r="T968" s="277"/>
      <c r="Z968" s="278"/>
    </row>
    <row r="969" ht="15.75" customHeight="1">
      <c r="D969" s="158"/>
      <c r="G969" s="158"/>
      <c r="K969" s="276"/>
      <c r="N969" s="276"/>
      <c r="T969" s="277"/>
      <c r="Z969" s="278"/>
    </row>
    <row r="970" ht="15.75" customHeight="1">
      <c r="D970" s="158"/>
      <c r="G970" s="158"/>
      <c r="K970" s="276"/>
      <c r="N970" s="276"/>
      <c r="T970" s="277"/>
      <c r="Z970" s="278"/>
    </row>
    <row r="971" ht="15.75" customHeight="1">
      <c r="D971" s="158"/>
      <c r="G971" s="158"/>
      <c r="K971" s="276"/>
      <c r="N971" s="276"/>
      <c r="T971" s="277"/>
      <c r="Z971" s="278"/>
    </row>
    <row r="972" ht="15.75" customHeight="1">
      <c r="D972" s="158"/>
      <c r="G972" s="158"/>
      <c r="K972" s="276"/>
      <c r="N972" s="276"/>
      <c r="T972" s="277"/>
      <c r="Z972" s="278"/>
    </row>
    <row r="973" ht="15.75" customHeight="1">
      <c r="D973" s="158"/>
      <c r="G973" s="158"/>
      <c r="K973" s="276"/>
      <c r="N973" s="276"/>
      <c r="T973" s="277"/>
      <c r="Z973" s="278"/>
    </row>
    <row r="974" ht="15.75" customHeight="1">
      <c r="D974" s="158"/>
      <c r="G974" s="158"/>
      <c r="K974" s="276"/>
      <c r="N974" s="276"/>
      <c r="T974" s="277"/>
      <c r="Z974" s="278"/>
    </row>
    <row r="975" ht="15.75" customHeight="1">
      <c r="D975" s="158"/>
      <c r="G975" s="158"/>
      <c r="K975" s="276"/>
      <c r="N975" s="276"/>
      <c r="T975" s="277"/>
      <c r="Z975" s="278"/>
    </row>
    <row r="976" ht="15.75" customHeight="1">
      <c r="D976" s="158"/>
      <c r="G976" s="158"/>
      <c r="K976" s="276"/>
      <c r="N976" s="276"/>
      <c r="T976" s="277"/>
      <c r="Z976" s="278"/>
    </row>
    <row r="977" ht="15.75" customHeight="1">
      <c r="D977" s="158"/>
      <c r="G977" s="158"/>
      <c r="K977" s="276"/>
      <c r="N977" s="276"/>
      <c r="T977" s="277"/>
      <c r="Z977" s="278"/>
    </row>
    <row r="978" ht="15.75" customHeight="1">
      <c r="D978" s="158"/>
      <c r="G978" s="158"/>
      <c r="K978" s="276"/>
      <c r="N978" s="276"/>
      <c r="T978" s="277"/>
      <c r="Z978" s="278"/>
    </row>
    <row r="979" ht="15.75" customHeight="1">
      <c r="D979" s="158"/>
      <c r="G979" s="158"/>
      <c r="K979" s="276"/>
      <c r="N979" s="276"/>
      <c r="T979" s="277"/>
      <c r="Z979" s="278"/>
    </row>
    <row r="980" ht="15.75" customHeight="1">
      <c r="D980" s="158"/>
      <c r="G980" s="158"/>
      <c r="K980" s="276"/>
      <c r="N980" s="276"/>
      <c r="T980" s="277"/>
      <c r="Z980" s="278"/>
    </row>
    <row r="981" ht="15.75" customHeight="1">
      <c r="D981" s="158"/>
      <c r="G981" s="158"/>
      <c r="K981" s="276"/>
      <c r="N981" s="276"/>
      <c r="T981" s="277"/>
      <c r="Z981" s="278"/>
    </row>
    <row r="982" ht="15.75" customHeight="1">
      <c r="D982" s="158"/>
      <c r="G982" s="158"/>
      <c r="K982" s="276"/>
      <c r="N982" s="276"/>
      <c r="T982" s="277"/>
      <c r="Z982" s="278"/>
    </row>
    <row r="983" ht="15.75" customHeight="1">
      <c r="D983" s="158"/>
      <c r="G983" s="158"/>
      <c r="K983" s="276"/>
      <c r="N983" s="276"/>
      <c r="T983" s="277"/>
      <c r="Z983" s="278"/>
    </row>
    <row r="984" ht="15.75" customHeight="1">
      <c r="D984" s="158"/>
      <c r="G984" s="158"/>
      <c r="K984" s="276"/>
      <c r="N984" s="276"/>
      <c r="T984" s="277"/>
      <c r="Z984" s="278"/>
    </row>
    <row r="985" ht="15.75" customHeight="1">
      <c r="D985" s="158"/>
      <c r="G985" s="158"/>
      <c r="K985" s="276"/>
      <c r="N985" s="276"/>
      <c r="T985" s="277"/>
      <c r="Z985" s="278"/>
    </row>
    <row r="986" ht="15.75" customHeight="1">
      <c r="D986" s="158"/>
      <c r="G986" s="158"/>
      <c r="K986" s="276"/>
      <c r="N986" s="276"/>
      <c r="T986" s="277"/>
      <c r="Z986" s="278"/>
    </row>
    <row r="987" ht="15.75" customHeight="1">
      <c r="D987" s="158"/>
      <c r="G987" s="158"/>
      <c r="K987" s="276"/>
      <c r="N987" s="276"/>
      <c r="T987" s="277"/>
      <c r="Z987" s="278"/>
    </row>
    <row r="988" ht="15.75" customHeight="1">
      <c r="D988" s="158"/>
      <c r="G988" s="158"/>
      <c r="K988" s="276"/>
      <c r="N988" s="276"/>
      <c r="T988" s="277"/>
      <c r="Z988" s="278"/>
    </row>
    <row r="989" ht="15.75" customHeight="1">
      <c r="D989" s="158"/>
      <c r="G989" s="158"/>
      <c r="K989" s="276"/>
      <c r="N989" s="276"/>
      <c r="T989" s="277"/>
      <c r="Z989" s="278"/>
    </row>
    <row r="990" ht="15.75" customHeight="1">
      <c r="D990" s="158"/>
      <c r="G990" s="158"/>
      <c r="K990" s="276"/>
      <c r="N990" s="276"/>
      <c r="T990" s="277"/>
      <c r="Z990" s="278"/>
    </row>
    <row r="991" ht="15.75" customHeight="1">
      <c r="D991" s="158"/>
      <c r="G991" s="158"/>
      <c r="K991" s="276"/>
      <c r="N991" s="276"/>
      <c r="T991" s="277"/>
      <c r="Z991" s="278"/>
    </row>
    <row r="992" ht="15.75" customHeight="1">
      <c r="D992" s="158"/>
      <c r="G992" s="158"/>
      <c r="K992" s="276"/>
      <c r="N992" s="276"/>
      <c r="T992" s="277"/>
      <c r="Z992" s="278"/>
    </row>
    <row r="993" ht="15.75" customHeight="1">
      <c r="D993" s="158"/>
      <c r="G993" s="158"/>
      <c r="K993" s="276"/>
      <c r="N993" s="276"/>
      <c r="T993" s="277"/>
      <c r="Z993" s="278"/>
    </row>
    <row r="994" ht="15.75" customHeight="1">
      <c r="D994" s="158"/>
      <c r="G994" s="158"/>
      <c r="K994" s="276"/>
      <c r="N994" s="276"/>
      <c r="T994" s="277"/>
      <c r="Z994" s="278"/>
    </row>
    <row r="995" ht="15.75" customHeight="1">
      <c r="D995" s="158"/>
      <c r="G995" s="158"/>
      <c r="K995" s="276"/>
      <c r="N995" s="276"/>
      <c r="T995" s="277"/>
      <c r="Z995" s="278"/>
    </row>
    <row r="996" ht="15.75" customHeight="1">
      <c r="D996" s="158"/>
      <c r="G996" s="158"/>
      <c r="K996" s="276"/>
      <c r="N996" s="276"/>
      <c r="T996" s="277"/>
      <c r="Z996" s="278"/>
    </row>
    <row r="997" ht="15.75" customHeight="1">
      <c r="D997" s="158"/>
      <c r="G997" s="158"/>
      <c r="K997" s="276"/>
      <c r="N997" s="276"/>
      <c r="T997" s="277"/>
      <c r="Z997" s="278"/>
    </row>
    <row r="998" ht="15.75" customHeight="1">
      <c r="D998" s="158"/>
      <c r="G998" s="158"/>
      <c r="K998" s="276"/>
      <c r="N998" s="276"/>
      <c r="T998" s="277"/>
      <c r="Z998" s="278"/>
    </row>
    <row r="999" ht="15.75" customHeight="1">
      <c r="D999" s="158"/>
      <c r="G999" s="158"/>
      <c r="K999" s="276"/>
      <c r="N999" s="276"/>
      <c r="T999" s="277"/>
      <c r="Z999" s="278"/>
    </row>
    <row r="1000" ht="15.75" customHeight="1">
      <c r="D1000" s="158"/>
      <c r="G1000" s="158"/>
      <c r="K1000" s="276"/>
      <c r="N1000" s="276"/>
      <c r="T1000" s="277"/>
      <c r="Z1000" s="278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90" t="s">
        <v>126</v>
      </c>
      <c r="B1" s="286" t="s">
        <v>10</v>
      </c>
      <c r="C1" s="92"/>
      <c r="D1" s="93"/>
      <c r="E1" s="286" t="s">
        <v>17</v>
      </c>
      <c r="F1" s="92"/>
      <c r="G1" s="93"/>
      <c r="H1" s="287" t="s">
        <v>25</v>
      </c>
      <c r="I1" s="92"/>
      <c r="J1" s="93"/>
      <c r="K1" s="288" t="s">
        <v>33</v>
      </c>
      <c r="L1" s="92"/>
      <c r="M1" s="93"/>
      <c r="N1" s="288" t="s">
        <v>41</v>
      </c>
      <c r="O1" s="92"/>
      <c r="P1" s="93"/>
      <c r="Q1" s="289" t="s">
        <v>127</v>
      </c>
      <c r="R1" s="92"/>
      <c r="S1" s="93"/>
      <c r="T1" s="290" t="s">
        <v>52</v>
      </c>
      <c r="U1" s="92"/>
      <c r="V1" s="93"/>
      <c r="W1" s="290" t="s">
        <v>59</v>
      </c>
      <c r="X1" s="92"/>
      <c r="Y1" s="93"/>
      <c r="Z1" s="290" t="s">
        <v>66</v>
      </c>
      <c r="AA1" s="92"/>
      <c r="AB1" s="93"/>
      <c r="AC1" s="290" t="s">
        <v>67</v>
      </c>
      <c r="AD1" s="92"/>
      <c r="AE1" s="93"/>
      <c r="AF1" s="290" t="s">
        <v>74</v>
      </c>
      <c r="AG1" s="92"/>
      <c r="AH1" s="93"/>
      <c r="AI1" s="291" t="s">
        <v>76</v>
      </c>
      <c r="AJ1" s="98" t="s">
        <v>128</v>
      </c>
    </row>
    <row r="2" ht="24.0" customHeight="1">
      <c r="A2" s="99"/>
      <c r="B2" s="292" t="s">
        <v>129</v>
      </c>
      <c r="C2" s="293" t="s">
        <v>82</v>
      </c>
      <c r="D2" s="294" t="s">
        <v>130</v>
      </c>
      <c r="E2" s="292" t="s">
        <v>129</v>
      </c>
      <c r="F2" s="293" t="s">
        <v>82</v>
      </c>
      <c r="G2" s="294" t="s">
        <v>130</v>
      </c>
      <c r="H2" s="292" t="s">
        <v>129</v>
      </c>
      <c r="I2" s="293" t="s">
        <v>82</v>
      </c>
      <c r="J2" s="294" t="s">
        <v>130</v>
      </c>
      <c r="K2" s="292" t="s">
        <v>129</v>
      </c>
      <c r="L2" s="293" t="s">
        <v>82</v>
      </c>
      <c r="M2" s="294" t="s">
        <v>130</v>
      </c>
      <c r="N2" s="292" t="s">
        <v>129</v>
      </c>
      <c r="O2" s="293" t="s">
        <v>82</v>
      </c>
      <c r="P2" s="294" t="s">
        <v>130</v>
      </c>
      <c r="Q2" s="292" t="s">
        <v>129</v>
      </c>
      <c r="R2" s="293" t="s">
        <v>82</v>
      </c>
      <c r="S2" s="294" t="s">
        <v>130</v>
      </c>
      <c r="T2" s="292" t="s">
        <v>129</v>
      </c>
      <c r="U2" s="293" t="s">
        <v>82</v>
      </c>
      <c r="V2" s="294" t="s">
        <v>130</v>
      </c>
      <c r="W2" s="292" t="s">
        <v>129</v>
      </c>
      <c r="X2" s="293" t="s">
        <v>82</v>
      </c>
      <c r="Y2" s="294" t="s">
        <v>130</v>
      </c>
      <c r="Z2" s="292" t="s">
        <v>129</v>
      </c>
      <c r="AA2" s="293" t="s">
        <v>82</v>
      </c>
      <c r="AB2" s="294" t="s">
        <v>130</v>
      </c>
      <c r="AC2" s="292" t="s">
        <v>129</v>
      </c>
      <c r="AD2" s="293" t="s">
        <v>82</v>
      </c>
      <c r="AE2" s="294" t="s">
        <v>130</v>
      </c>
      <c r="AF2" s="292" t="s">
        <v>129</v>
      </c>
      <c r="AG2" s="293" t="s">
        <v>82</v>
      </c>
      <c r="AH2" s="294" t="s">
        <v>130</v>
      </c>
      <c r="AI2" s="292" t="s">
        <v>129</v>
      </c>
      <c r="AJ2" s="103"/>
    </row>
    <row r="3" ht="21.75" customHeight="1">
      <c r="A3" s="104" t="s">
        <v>131</v>
      </c>
      <c r="B3" s="295">
        <f>100%+'Period Tables'!I3</f>
        <v>0.8053074535</v>
      </c>
      <c r="C3" s="296">
        <f t="shared" ref="C3:C8" si="1">IFERROR(ROUND(ifs(B3="","",B3&gt;=1.05,5,B3&gt;=1.02,4+(B3-1.02)/0.03,B3&gt;=0.99,3+(B3-0.99)/0.03,B3&gt;=0.95,2+(B3-0.95)/0.04,B3&gt;=0.9,1+(B3-0.9)/0.05,TRUE(),0),1),"")</f>
        <v>0</v>
      </c>
      <c r="D3" s="107">
        <f t="shared" ref="D3:D8" si="2">IF(C3="","",C3*C$9)</f>
        <v>0</v>
      </c>
      <c r="E3" s="297">
        <f>100%+'Period Tables'!F3</f>
        <v>0.754578293</v>
      </c>
      <c r="F3" s="296">
        <f t="shared" ref="F3:F8" si="3">IFERROR(ROUND(ifs(E3="","",E3&gt;=1.15,5,E3&gt;=1.075,4+(E3-1.075)/0.075,E3&gt;=1.05,3+(E3-1.05)/0.025,E3&gt;=1,2+(E3-1)/0.05,E3&gt;=0.95,1+(E3-0.95)/0.05,TRUE(),0),1),"")</f>
        <v>0</v>
      </c>
      <c r="G3" s="107">
        <f t="shared" ref="G3:G8" si="4">IF(F3="","",F3*F$9)</f>
        <v>0</v>
      </c>
      <c r="H3" s="298" t="str">
        <f>100%+'Period Tables'!V3</f>
        <v>#DIV/0!</v>
      </c>
      <c r="I3" s="296" t="str">
        <f t="shared" ref="I3:I8" si="5">IFERROR(ROUND(ifs(H3="","",H3&gt;=1.05,5,H3&gt;=1.01,4+(H3-1.01)/0.04,H3&gt;=0.95,3+(H3-0.95)/0.06,H3&gt;=0.85,2+(H3-0.85)/0.1,H3&gt;=0.75,1+(H3-0.75)/0.1,TRUE(),0),1),"")</f>
        <v/>
      </c>
      <c r="J3" s="107" t="str">
        <f t="shared" ref="J3:J8" si="6">IF(I3="","",I3*I$9)</f>
        <v/>
      </c>
      <c r="K3" s="299">
        <f>'Period Tables'!L3*100</f>
        <v>-0.5</v>
      </c>
      <c r="L3" s="296">
        <f t="shared" ref="L3:L8" si="7">IFERROR(ROUND(IFS(K3="","",K3&gt;=3,0,K3&gt;=2,1+(3-K3)/1,K3&gt;=1,2+(2-K3)/1,K3&gt;0,3+(1-K3)/1,K3&gt;=-1,4+(0-K3)/1,TRUE,5),1),"")</f>
        <v>4.5</v>
      </c>
      <c r="M3" s="107">
        <f t="shared" ref="M3:M8" si="8">IF(L3="","",L3*L$9)</f>
        <v>0.4725</v>
      </c>
      <c r="N3" s="300">
        <f>'Period Tables'!O3*100</f>
        <v>4.7</v>
      </c>
      <c r="O3" s="296">
        <f t="shared" ref="O3:O8" si="9">IFERROR(ROUND(IFS(N3="","",N3&gt;=3,0,N3&gt;=2,1+(3-N3)/1,N3&gt;=1,2+(2-N3)/1,N3&gt;0,3+(1-N3)/1,N3&gt;=-1,4+(0-N3)/1,TRUE,5),1),"")</f>
        <v>0</v>
      </c>
      <c r="P3" s="107">
        <f t="shared" ref="P3:P8" si="10">IF(O3="","",O3*O$9)</f>
        <v>0</v>
      </c>
      <c r="Q3" s="301">
        <f>'Period Tables'!E12</f>
        <v>5</v>
      </c>
      <c r="R3" s="296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7">
        <f t="shared" ref="S3:S8" si="12">IF(R3="","",R3*R$9)</f>
        <v>1.05</v>
      </c>
      <c r="T3" s="302">
        <f>'Period Tables'!I20</f>
        <v>0.0405</v>
      </c>
      <c r="U3" s="296">
        <f t="shared" ref="U3:U8" si="13">IFERROR(ROUND(ifs(T3="","",T3&lt;=0.01,5,T3&lt;=0.015,4+(0.015-T3)/0.005,T3&lt;=0.02,3+(0.02-T3)/0.005,T3&lt;=0.04,2+(0.04-T3)/0.02,T3&lt;=0.06,1+(0.06-T3)/0.02,TRUE(),0),1),"")</f>
        <v>2</v>
      </c>
      <c r="V3" s="107">
        <f t="shared" ref="V3:V8" si="14">IF(U3="","",U3*U$9)</f>
        <v>0.17</v>
      </c>
      <c r="W3" s="303">
        <f>'Period Tables'!H31</f>
        <v>0.57</v>
      </c>
      <c r="X3" s="296">
        <f t="shared" ref="X3:X8" si="15">IFERROR(ROUND(ifs(W3="","",W3&lt;=1,5,W3&lt;=1.5,4+(1.5-W3)/0.5,W3&lt;=2,3+(2-W3)/0.5,W3&lt;=5,2+(5-W3)/3,W3&lt;=8,1+(8-W3)/3,TRUE(),0),1),"")</f>
        <v>5</v>
      </c>
      <c r="Y3" s="107">
        <f t="shared" ref="Y3:Y8" si="16">IF(X3="","",X3*X$9)</f>
        <v>0.325</v>
      </c>
      <c r="Z3" s="304">
        <f>'Period Tables'!E20</f>
        <v>4</v>
      </c>
      <c r="AA3" s="296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7">
        <f t="shared" ref="AB3:AB8" si="18">IF(AA3="","",AA3*AA$9)</f>
        <v>0.13</v>
      </c>
      <c r="AC3" s="305">
        <v>92.0</v>
      </c>
      <c r="AD3" s="296">
        <f t="shared" ref="AD3:AD8" si="19">IFERROR(ROUND(ifs(AC3="","",AC3&gt;=94,5,AC3&gt;=89,4+(AC3-89)/5,AC3&gt;=83,3+(AC3-83)/6,AC3&gt;=75,2+(AC3-75)/8,AC3&gt;=70,1+(AC3-70)/5,TRUE(),0),1),"")</f>
        <v>4.6</v>
      </c>
      <c r="AE3" s="107">
        <f t="shared" ref="AE3:AE8" si="20">IF(AD3="","",AD3*AD$9)</f>
        <v>0.483</v>
      </c>
      <c r="AF3" s="306">
        <v>90.0</v>
      </c>
      <c r="AG3" s="296">
        <f t="shared" ref="AG3:AG8" si="21">IFERROR(ROUND(ifs(AF3="","",AF3&gt;=94,5,AF3&gt;=89,4+(AF3-89)/5,AF3&gt;=83,3+(AF3-83)/6,AF3&gt;=75,2+(AF3-75)/8,AF3&gt;=70,1+(AF3-70)/5,TRUE(),0),1),"")</f>
        <v>4.2</v>
      </c>
      <c r="AH3" s="107">
        <f t="shared" ref="AH3:AH8" si="22">IF(AG3="","",AG3*AG$9)</f>
        <v>0.231</v>
      </c>
      <c r="AI3" s="307">
        <v>0.85</v>
      </c>
      <c r="AJ3" s="308">
        <f t="shared" ref="AJ3:AJ8" si="23">SUM(D3,G3,J3,M3,P3,S3,V3,Y3,AB3,AE3,AH3)</f>
        <v>2.8615</v>
      </c>
    </row>
    <row r="4" ht="21.75" customHeight="1">
      <c r="A4" s="104" t="s">
        <v>132</v>
      </c>
      <c r="B4" s="295">
        <f>100%+'Period Tables'!I4</f>
        <v>1.057140652</v>
      </c>
      <c r="C4" s="296">
        <f t="shared" si="1"/>
        <v>5</v>
      </c>
      <c r="D4" s="107">
        <f t="shared" si="2"/>
        <v>0.2</v>
      </c>
      <c r="E4" s="297">
        <f>100%+'Period Tables'!F4</f>
        <v>1.481524028</v>
      </c>
      <c r="F4" s="296">
        <f t="shared" si="3"/>
        <v>5</v>
      </c>
      <c r="G4" s="107">
        <f t="shared" si="4"/>
        <v>0.2</v>
      </c>
      <c r="H4" s="298" t="str">
        <f>100%+'Period Tables'!V4</f>
        <v>#DIV/0!</v>
      </c>
      <c r="I4" s="296" t="str">
        <f t="shared" si="5"/>
        <v/>
      </c>
      <c r="J4" s="107" t="str">
        <f t="shared" si="6"/>
        <v/>
      </c>
      <c r="K4" s="299">
        <f>'Period Tables'!L4*100</f>
        <v>-5.9</v>
      </c>
      <c r="L4" s="296">
        <f t="shared" si="7"/>
        <v>5</v>
      </c>
      <c r="M4" s="107">
        <f t="shared" si="8"/>
        <v>0.525</v>
      </c>
      <c r="N4" s="300">
        <f>'Period Tables'!O4*100</f>
        <v>1.6</v>
      </c>
      <c r="O4" s="296">
        <f t="shared" si="9"/>
        <v>2.4</v>
      </c>
      <c r="P4" s="107">
        <f t="shared" si="10"/>
        <v>0.252</v>
      </c>
      <c r="Q4" s="301">
        <f>'Period Tables'!E15</f>
        <v>4.67</v>
      </c>
      <c r="R4" s="296">
        <f t="shared" si="11"/>
        <v>4.9</v>
      </c>
      <c r="S4" s="107">
        <f t="shared" si="12"/>
        <v>1.029</v>
      </c>
      <c r="T4" s="302">
        <f>'Period Tables'!I23</f>
        <v>0.0315</v>
      </c>
      <c r="U4" s="296">
        <f t="shared" si="13"/>
        <v>2.4</v>
      </c>
      <c r="V4" s="107">
        <f t="shared" si="14"/>
        <v>0.204</v>
      </c>
      <c r="W4" s="303">
        <f>'Period Tables'!H34</f>
        <v>1.48</v>
      </c>
      <c r="X4" s="296">
        <f t="shared" si="15"/>
        <v>4</v>
      </c>
      <c r="Y4" s="107">
        <f t="shared" si="16"/>
        <v>0.26</v>
      </c>
      <c r="Z4" s="304">
        <f>'Period Tables'!E23</f>
        <v>4.4</v>
      </c>
      <c r="AA4" s="296">
        <f t="shared" si="17"/>
        <v>3.5</v>
      </c>
      <c r="AB4" s="107">
        <f t="shared" si="18"/>
        <v>0.2275</v>
      </c>
      <c r="AC4" s="305">
        <v>88.0</v>
      </c>
      <c r="AD4" s="296">
        <f t="shared" si="19"/>
        <v>3.8</v>
      </c>
      <c r="AE4" s="107">
        <f t="shared" si="20"/>
        <v>0.399</v>
      </c>
      <c r="AF4" s="309">
        <v>86.0</v>
      </c>
      <c r="AG4" s="296">
        <f t="shared" si="21"/>
        <v>3.5</v>
      </c>
      <c r="AH4" s="107">
        <f t="shared" si="22"/>
        <v>0.1925</v>
      </c>
      <c r="AI4" s="307">
        <v>0.87</v>
      </c>
      <c r="AJ4" s="310">
        <f t="shared" si="23"/>
        <v>3.489</v>
      </c>
    </row>
    <row r="5" ht="21.75" customHeight="1">
      <c r="A5" s="104" t="s">
        <v>133</v>
      </c>
      <c r="B5" s="295">
        <f>100%+'Period Tables'!I5</f>
        <v>0.7913728096</v>
      </c>
      <c r="C5" s="296">
        <f t="shared" si="1"/>
        <v>0</v>
      </c>
      <c r="D5" s="107">
        <f t="shared" si="2"/>
        <v>0</v>
      </c>
      <c r="E5" s="297">
        <f>100%+'Period Tables'!F5</f>
        <v>1.196082061</v>
      </c>
      <c r="F5" s="296">
        <f t="shared" si="3"/>
        <v>5</v>
      </c>
      <c r="G5" s="107">
        <f t="shared" si="4"/>
        <v>0.2</v>
      </c>
      <c r="H5" s="298" t="str">
        <f>100%+'Period Tables'!V5</f>
        <v>#DIV/0!</v>
      </c>
      <c r="I5" s="296" t="str">
        <f t="shared" si="5"/>
        <v/>
      </c>
      <c r="J5" s="107" t="str">
        <f t="shared" si="6"/>
        <v/>
      </c>
      <c r="K5" s="299">
        <f>'Period Tables'!L5*100</f>
        <v>0</v>
      </c>
      <c r="L5" s="296">
        <f t="shared" si="7"/>
        <v>4</v>
      </c>
      <c r="M5" s="107">
        <f t="shared" si="8"/>
        <v>0.42</v>
      </c>
      <c r="N5" s="300">
        <f>'Period Tables'!O5*100</f>
        <v>1.3</v>
      </c>
      <c r="O5" s="296">
        <f t="shared" si="9"/>
        <v>2.7</v>
      </c>
      <c r="P5" s="107">
        <f t="shared" si="10"/>
        <v>0.2835</v>
      </c>
      <c r="Q5" s="301">
        <f>'Period Tables'!E13</f>
        <v>3</v>
      </c>
      <c r="R5" s="296">
        <f t="shared" si="11"/>
        <v>0</v>
      </c>
      <c r="S5" s="107">
        <f t="shared" si="12"/>
        <v>0</v>
      </c>
      <c r="T5" s="302">
        <f>'Period Tables'!I21</f>
        <v>0.0264</v>
      </c>
      <c r="U5" s="296">
        <f t="shared" si="13"/>
        <v>2.7</v>
      </c>
      <c r="V5" s="107">
        <f t="shared" si="14"/>
        <v>0.2295</v>
      </c>
      <c r="W5" s="303">
        <f>'Period Tables'!H32</f>
        <v>0.59</v>
      </c>
      <c r="X5" s="296">
        <f t="shared" si="15"/>
        <v>5</v>
      </c>
      <c r="Y5" s="107">
        <f t="shared" si="16"/>
        <v>0.325</v>
      </c>
      <c r="Z5" s="304">
        <f>'Period Tables'!E21</f>
        <v>4.5</v>
      </c>
      <c r="AA5" s="296">
        <f t="shared" si="17"/>
        <v>4</v>
      </c>
      <c r="AB5" s="107">
        <f t="shared" si="18"/>
        <v>0.26</v>
      </c>
      <c r="AC5" s="305">
        <v>91.0</v>
      </c>
      <c r="AD5" s="296">
        <f t="shared" si="19"/>
        <v>4.4</v>
      </c>
      <c r="AE5" s="107">
        <f t="shared" si="20"/>
        <v>0.462</v>
      </c>
      <c r="AF5" s="309">
        <v>93.0</v>
      </c>
      <c r="AG5" s="296">
        <f t="shared" si="21"/>
        <v>4.8</v>
      </c>
      <c r="AH5" s="107">
        <f t="shared" si="22"/>
        <v>0.264</v>
      </c>
      <c r="AI5" s="307">
        <v>0.93</v>
      </c>
      <c r="AJ5" s="310">
        <f t="shared" si="23"/>
        <v>2.444</v>
      </c>
    </row>
    <row r="6" ht="21.75" customHeight="1">
      <c r="A6" s="104" t="s">
        <v>134</v>
      </c>
      <c r="B6" s="295">
        <f>100%+'Period Tables'!I6</f>
        <v>0.8703104349</v>
      </c>
      <c r="C6" s="296">
        <f t="shared" si="1"/>
        <v>0</v>
      </c>
      <c r="D6" s="107">
        <f t="shared" si="2"/>
        <v>0</v>
      </c>
      <c r="E6" s="297">
        <f>100%+'Period Tables'!F6</f>
        <v>1.021909008</v>
      </c>
      <c r="F6" s="296">
        <f t="shared" si="3"/>
        <v>2.4</v>
      </c>
      <c r="G6" s="107">
        <f t="shared" si="4"/>
        <v>0.096</v>
      </c>
      <c r="H6" s="298" t="str">
        <f>100%+'Period Tables'!V6</f>
        <v>#DIV/0!</v>
      </c>
      <c r="I6" s="296" t="str">
        <f t="shared" si="5"/>
        <v/>
      </c>
      <c r="J6" s="107" t="str">
        <f t="shared" si="6"/>
        <v/>
      </c>
      <c r="K6" s="299">
        <f>'Period Tables'!L6*100</f>
        <v>3.2</v>
      </c>
      <c r="L6" s="296">
        <f t="shared" si="7"/>
        <v>0</v>
      </c>
      <c r="M6" s="107">
        <f t="shared" si="8"/>
        <v>0</v>
      </c>
      <c r="N6" s="300">
        <f>'Period Tables'!O6*100</f>
        <v>2.7</v>
      </c>
      <c r="O6" s="296">
        <f t="shared" si="9"/>
        <v>1.3</v>
      </c>
      <c r="P6" s="107">
        <f t="shared" si="10"/>
        <v>0.1365</v>
      </c>
      <c r="Q6" s="301">
        <f>'Period Tables'!E14</f>
        <v>4.33</v>
      </c>
      <c r="R6" s="296">
        <f t="shared" si="11"/>
        <v>3.2</v>
      </c>
      <c r="S6" s="107">
        <f t="shared" si="12"/>
        <v>0.672</v>
      </c>
      <c r="T6" s="302">
        <f>'Period Tables'!I22</f>
        <v>0.0315</v>
      </c>
      <c r="U6" s="296">
        <f t="shared" si="13"/>
        <v>2.4</v>
      </c>
      <c r="V6" s="107">
        <f t="shared" si="14"/>
        <v>0.204</v>
      </c>
      <c r="W6" s="303">
        <f>'Period Tables'!H33</f>
        <v>1.14</v>
      </c>
      <c r="X6" s="296">
        <f t="shared" si="15"/>
        <v>4.7</v>
      </c>
      <c r="Y6" s="107">
        <f t="shared" si="16"/>
        <v>0.3055</v>
      </c>
      <c r="Z6" s="304">
        <f>'Period Tables'!E22</f>
        <v>4.3</v>
      </c>
      <c r="AA6" s="296">
        <f t="shared" si="17"/>
        <v>3</v>
      </c>
      <c r="AB6" s="107">
        <f t="shared" si="18"/>
        <v>0.195</v>
      </c>
      <c r="AC6" s="305">
        <v>78.0</v>
      </c>
      <c r="AD6" s="296">
        <f t="shared" si="19"/>
        <v>2.4</v>
      </c>
      <c r="AE6" s="107">
        <f t="shared" si="20"/>
        <v>0.252</v>
      </c>
      <c r="AF6" s="306">
        <v>75.0</v>
      </c>
      <c r="AG6" s="296">
        <f t="shared" si="21"/>
        <v>2</v>
      </c>
      <c r="AH6" s="107">
        <f t="shared" si="22"/>
        <v>0.11</v>
      </c>
      <c r="AI6" s="307">
        <v>0.8</v>
      </c>
      <c r="AJ6" s="310">
        <f t="shared" si="23"/>
        <v>1.971</v>
      </c>
    </row>
    <row r="7" ht="21.75" customHeight="1">
      <c r="A7" s="127" t="s">
        <v>135</v>
      </c>
      <c r="B7" s="295">
        <f>100%+'Period Tables'!I7</f>
        <v>0.7840265131</v>
      </c>
      <c r="C7" s="296">
        <f t="shared" si="1"/>
        <v>0</v>
      </c>
      <c r="D7" s="107">
        <f t="shared" si="2"/>
        <v>0</v>
      </c>
      <c r="E7" s="297">
        <f>100%+'Period Tables'!F7</f>
        <v>1.084955287</v>
      </c>
      <c r="F7" s="296">
        <f t="shared" si="3"/>
        <v>4.1</v>
      </c>
      <c r="G7" s="107">
        <f t="shared" si="4"/>
        <v>0.164</v>
      </c>
      <c r="H7" s="298" t="str">
        <f>100%+'Period Tables'!V7</f>
        <v>#DIV/0!</v>
      </c>
      <c r="I7" s="296" t="str">
        <f t="shared" si="5"/>
        <v/>
      </c>
      <c r="J7" s="107" t="str">
        <f t="shared" si="6"/>
        <v/>
      </c>
      <c r="K7" s="299">
        <f>'Period Tables'!L7*100</f>
        <v>4.5</v>
      </c>
      <c r="L7" s="296">
        <f t="shared" si="7"/>
        <v>0</v>
      </c>
      <c r="M7" s="107">
        <f t="shared" si="8"/>
        <v>0</v>
      </c>
      <c r="N7" s="300">
        <f>'Period Tables'!O7*100</f>
        <v>2</v>
      </c>
      <c r="O7" s="296">
        <f t="shared" si="9"/>
        <v>2</v>
      </c>
      <c r="P7" s="107">
        <f t="shared" si="10"/>
        <v>0.21</v>
      </c>
      <c r="Q7" s="301">
        <f>'Period Tables'!E16</f>
        <v>4.47</v>
      </c>
      <c r="R7" s="296">
        <f t="shared" si="11"/>
        <v>3.9</v>
      </c>
      <c r="S7" s="107">
        <f t="shared" si="12"/>
        <v>0.819</v>
      </c>
      <c r="T7" s="302">
        <f>'Period Tables'!I24</f>
        <v>0.045</v>
      </c>
      <c r="U7" s="296">
        <f t="shared" si="13"/>
        <v>1.8</v>
      </c>
      <c r="V7" s="107">
        <f t="shared" si="14"/>
        <v>0.153</v>
      </c>
      <c r="W7" s="303">
        <f>'Period Tables'!H30</f>
        <v>2.03</v>
      </c>
      <c r="X7" s="296">
        <f t="shared" si="15"/>
        <v>3</v>
      </c>
      <c r="Y7" s="107">
        <f t="shared" si="16"/>
        <v>0.195</v>
      </c>
      <c r="Z7" s="304">
        <f>'Period Tables'!E24</f>
        <v>4.3</v>
      </c>
      <c r="AA7" s="296">
        <f t="shared" si="17"/>
        <v>3</v>
      </c>
      <c r="AB7" s="107">
        <f t="shared" si="18"/>
        <v>0.195</v>
      </c>
      <c r="AC7" s="305">
        <v>77.0</v>
      </c>
      <c r="AD7" s="296">
        <f t="shared" si="19"/>
        <v>2.3</v>
      </c>
      <c r="AE7" s="107">
        <f t="shared" si="20"/>
        <v>0.2415</v>
      </c>
      <c r="AF7" s="309">
        <v>74.0</v>
      </c>
      <c r="AG7" s="296">
        <f t="shared" si="21"/>
        <v>1.8</v>
      </c>
      <c r="AH7" s="107">
        <f t="shared" si="22"/>
        <v>0.099</v>
      </c>
      <c r="AI7" s="307">
        <v>0.78</v>
      </c>
      <c r="AJ7" s="311">
        <f t="shared" si="23"/>
        <v>2.0765</v>
      </c>
    </row>
    <row r="8" ht="21.75" customHeight="1">
      <c r="A8" s="132" t="s">
        <v>136</v>
      </c>
      <c r="B8" s="312">
        <f>100%+'Period Tables'!I8</f>
        <v>0.853896842</v>
      </c>
      <c r="C8" s="313">
        <f t="shared" si="1"/>
        <v>0</v>
      </c>
      <c r="D8" s="135">
        <f t="shared" si="2"/>
        <v>0</v>
      </c>
      <c r="E8" s="314">
        <f>100%+'Period Tables'!F8</f>
        <v>1.107363436</v>
      </c>
      <c r="F8" s="313">
        <f t="shared" si="3"/>
        <v>4.4</v>
      </c>
      <c r="G8" s="135">
        <f t="shared" si="4"/>
        <v>0.176</v>
      </c>
      <c r="H8" s="315" t="str">
        <f>100%+'Period Tables'!V8</f>
        <v>#DIV/0!</v>
      </c>
      <c r="I8" s="313" t="str">
        <f t="shared" si="5"/>
        <v/>
      </c>
      <c r="J8" s="135" t="str">
        <f t="shared" si="6"/>
        <v/>
      </c>
      <c r="K8" s="316">
        <f>'Period Tables'!L8*100</f>
        <v>0</v>
      </c>
      <c r="L8" s="313">
        <f t="shared" si="7"/>
        <v>4</v>
      </c>
      <c r="M8" s="135">
        <f t="shared" si="8"/>
        <v>0.42</v>
      </c>
      <c r="N8" s="317">
        <f>'Period Tables'!O8*100</f>
        <v>2.2</v>
      </c>
      <c r="O8" s="313">
        <f t="shared" si="9"/>
        <v>1.8</v>
      </c>
      <c r="P8" s="135">
        <f t="shared" si="10"/>
        <v>0.189</v>
      </c>
      <c r="Q8" s="318">
        <f>'Period Tables'!E17</f>
        <v>4.294</v>
      </c>
      <c r="R8" s="313">
        <f t="shared" si="11"/>
        <v>3</v>
      </c>
      <c r="S8" s="135">
        <f t="shared" si="12"/>
        <v>0.63</v>
      </c>
      <c r="T8" s="319">
        <f>'Period Tables'!I25</f>
        <v>0.03498</v>
      </c>
      <c r="U8" s="313">
        <f t="shared" si="13"/>
        <v>2.3</v>
      </c>
      <c r="V8" s="135">
        <f t="shared" si="14"/>
        <v>0.1955</v>
      </c>
      <c r="W8" s="320">
        <f>'Period Tables'!H35</f>
        <v>1.19</v>
      </c>
      <c r="X8" s="313">
        <f t="shared" si="15"/>
        <v>4.6</v>
      </c>
      <c r="Y8" s="135">
        <f t="shared" si="16"/>
        <v>0.299</v>
      </c>
      <c r="Z8" s="321">
        <f>'Period Tables'!E25</f>
        <v>4.3</v>
      </c>
      <c r="AA8" s="313">
        <f t="shared" si="17"/>
        <v>3</v>
      </c>
      <c r="AB8" s="135">
        <f t="shared" si="18"/>
        <v>0.195</v>
      </c>
      <c r="AC8" s="322">
        <f>AVERAGE(AC3:AC7)</f>
        <v>85.2</v>
      </c>
      <c r="AD8" s="313">
        <f t="shared" si="19"/>
        <v>3.4</v>
      </c>
      <c r="AE8" s="135">
        <f t="shared" si="20"/>
        <v>0.357</v>
      </c>
      <c r="AF8" s="322">
        <f>AVERAGE(AF3:AF7)</f>
        <v>83.6</v>
      </c>
      <c r="AG8" s="313">
        <f t="shared" si="21"/>
        <v>3.1</v>
      </c>
      <c r="AH8" s="135">
        <f t="shared" si="22"/>
        <v>0.1705</v>
      </c>
      <c r="AI8" s="323">
        <f>AVERAGE(AI3:AI7)</f>
        <v>0.846</v>
      </c>
      <c r="AJ8" s="324">
        <f t="shared" si="23"/>
        <v>2.632</v>
      </c>
    </row>
    <row r="9" ht="19.5" customHeight="1">
      <c r="A9" s="145" t="s">
        <v>137</v>
      </c>
      <c r="B9" s="146"/>
      <c r="C9" s="325">
        <f>'Scoring Matrix'!C42</f>
        <v>0.04</v>
      </c>
      <c r="D9" s="148"/>
      <c r="E9" s="146"/>
      <c r="F9" s="325">
        <f>'Scoring Matrix'!C44</f>
        <v>0.04</v>
      </c>
      <c r="G9" s="148"/>
      <c r="H9" s="146"/>
      <c r="I9" s="325">
        <f>'Scoring Matrix'!C46</f>
        <v>0.125</v>
      </c>
      <c r="J9" s="148"/>
      <c r="K9" s="146"/>
      <c r="L9" s="325">
        <f>'Scoring Matrix'!C48</f>
        <v>0.105</v>
      </c>
      <c r="M9" s="148"/>
      <c r="N9" s="146"/>
      <c r="O9" s="325">
        <f>'Scoring Matrix'!C50</f>
        <v>0.105</v>
      </c>
      <c r="P9" s="148"/>
      <c r="Q9" s="146"/>
      <c r="R9" s="325">
        <f>'Scoring Matrix'!C52</f>
        <v>0.21</v>
      </c>
      <c r="S9" s="148"/>
      <c r="T9" s="146"/>
      <c r="U9" s="325">
        <f>'Scoring Matrix'!C54</f>
        <v>0.085</v>
      </c>
      <c r="V9" s="148"/>
      <c r="W9" s="146"/>
      <c r="X9" s="325">
        <f>'Scoring Matrix'!C56</f>
        <v>0.065</v>
      </c>
      <c r="Y9" s="148"/>
      <c r="Z9" s="146"/>
      <c r="AA9" s="325">
        <f>'Scoring Matrix'!C58</f>
        <v>0.065</v>
      </c>
      <c r="AB9" s="148"/>
      <c r="AC9" s="146"/>
      <c r="AD9" s="325">
        <f>'Scoring Matrix'!C60</f>
        <v>0.105</v>
      </c>
      <c r="AE9" s="148"/>
      <c r="AF9" s="146"/>
      <c r="AG9" s="325">
        <f>'Scoring Matrix'!C62</f>
        <v>0.055</v>
      </c>
      <c r="AH9" s="148"/>
      <c r="AI9" s="326"/>
      <c r="AJ9" s="154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27" t="s">
        <v>139</v>
      </c>
      <c r="B1" s="327" t="s">
        <v>10</v>
      </c>
      <c r="C1" s="327" t="s">
        <v>82</v>
      </c>
      <c r="D1" s="328" t="s">
        <v>130</v>
      </c>
      <c r="E1" s="327" t="s">
        <v>17</v>
      </c>
      <c r="F1" s="327" t="s">
        <v>82</v>
      </c>
      <c r="G1" s="328" t="s">
        <v>130</v>
      </c>
      <c r="H1" s="327" t="s">
        <v>25</v>
      </c>
      <c r="I1" s="327" t="s">
        <v>82</v>
      </c>
      <c r="J1" s="327" t="s">
        <v>130</v>
      </c>
      <c r="K1" s="329" t="s">
        <v>143</v>
      </c>
      <c r="L1" s="327" t="s">
        <v>82</v>
      </c>
      <c r="M1" s="327" t="s">
        <v>130</v>
      </c>
      <c r="N1" s="329" t="s">
        <v>144</v>
      </c>
      <c r="O1" s="327" t="s">
        <v>82</v>
      </c>
      <c r="P1" s="327" t="s">
        <v>130</v>
      </c>
      <c r="Q1" s="327" t="s">
        <v>44</v>
      </c>
      <c r="R1" s="327" t="s">
        <v>82</v>
      </c>
      <c r="S1" s="327" t="s">
        <v>130</v>
      </c>
      <c r="T1" s="327" t="s">
        <v>51</v>
      </c>
      <c r="U1" s="327" t="s">
        <v>82</v>
      </c>
      <c r="V1" s="327" t="s">
        <v>130</v>
      </c>
      <c r="W1" s="327" t="s">
        <v>52</v>
      </c>
      <c r="X1" s="327" t="s">
        <v>82</v>
      </c>
      <c r="Y1" s="327" t="s">
        <v>130</v>
      </c>
      <c r="Z1" s="330" t="s">
        <v>59</v>
      </c>
      <c r="AA1" s="327" t="s">
        <v>82</v>
      </c>
      <c r="AB1" s="327" t="s">
        <v>130</v>
      </c>
      <c r="AC1" s="327" t="s">
        <v>66</v>
      </c>
      <c r="AD1" s="327" t="s">
        <v>82</v>
      </c>
      <c r="AE1" s="327" t="s">
        <v>130</v>
      </c>
      <c r="AF1" s="327" t="s">
        <v>67</v>
      </c>
      <c r="AG1" s="327" t="s">
        <v>82</v>
      </c>
      <c r="AH1" s="327" t="s">
        <v>130</v>
      </c>
      <c r="AI1" s="327" t="s">
        <v>74</v>
      </c>
      <c r="AJ1" s="327" t="s">
        <v>82</v>
      </c>
      <c r="AK1" s="327" t="s">
        <v>130</v>
      </c>
      <c r="AL1" s="327" t="s">
        <v>145</v>
      </c>
      <c r="AM1" s="327" t="s">
        <v>82</v>
      </c>
      <c r="AN1" s="327" t="s">
        <v>130</v>
      </c>
      <c r="AO1" s="327" t="s">
        <v>146</v>
      </c>
      <c r="AP1" s="327" t="s">
        <v>147</v>
      </c>
      <c r="AQ1" s="209"/>
      <c r="AR1" s="209"/>
      <c r="AS1" s="209"/>
      <c r="AT1" s="209"/>
      <c r="AU1" s="209"/>
    </row>
    <row r="2">
      <c r="A2" s="331" t="s">
        <v>131</v>
      </c>
      <c r="B2" s="332">
        <f>100%+'Period Tables'!I3</f>
        <v>0.8053074535</v>
      </c>
      <c r="C2" s="333">
        <f t="shared" ref="C2:C6" si="1">IFS(B2="", "", B2&lt;90%,0, B2&lt;95%,1, B2&lt;=98%,2, B2&lt;=101%,3, B2&lt;=105%,4, TRUE,5)</f>
        <v>0</v>
      </c>
      <c r="D2" s="334">
        <f t="shared" ref="D2:D6" si="2">IF(C2="","",C2*5/100)</f>
        <v>0</v>
      </c>
      <c r="E2" s="335">
        <f>100%+'Period Tables'!F3</f>
        <v>0.754578293</v>
      </c>
      <c r="F2" s="336">
        <f t="shared" ref="F2:F6" si="3">IFS(E2="", "", E2&lt;90%,0, E2&lt;95%,1, E2&lt;=98%,2, E2&lt;=101%,3, E2&lt;=105%,4, TRUE,5)</f>
        <v>0</v>
      </c>
      <c r="G2" s="337">
        <f t="shared" ref="G2:G6" si="4">IF(F2="","",F2*5/100)</f>
        <v>0</v>
      </c>
      <c r="H2" s="338" t="str">
        <f>100%+'Period Tables'!V3</f>
        <v>#DIV/0!</v>
      </c>
      <c r="I2" s="339" t="str">
        <f t="shared" ref="I2:I6" si="5">IFS(H2="", "", H2&lt;75%,0, H2&lt;85%,1, H2&lt;95%,2, H2&lt;=100%,3, H2&lt;=105%,4, TRUE,5)</f>
        <v>#DIV/0!</v>
      </c>
      <c r="J2" s="340" t="str">
        <f t="shared" ref="J2:J6" si="6">IF(I2="","",I2*15/100)</f>
        <v>#DIV/0!</v>
      </c>
      <c r="K2" s="341">
        <f>'Period Tables'!L3*100</f>
        <v>-0.5</v>
      </c>
      <c r="L2" s="336">
        <f t="shared" ref="L2:L6" si="7">IFS(K2="", "", K2&gt;=3,0, K2&gt;=2,1, K2&gt;=1,2, K2&gt;=0,3, K2&lt;=-1,5, K2&lt;=-0.5,4, TRUE,3)</f>
        <v>4</v>
      </c>
      <c r="M2" s="342">
        <f t="shared" ref="M2:M6" si="8">IF(L2="","",L2*12.5/100)</f>
        <v>0.5</v>
      </c>
      <c r="N2" s="343">
        <f>'Period Tables'!O3*100</f>
        <v>4.7</v>
      </c>
      <c r="O2" s="333">
        <f t="shared" ref="O2:O6" si="9">IFS(N2="", "", N2&gt;=3,0, N2&gt;=2,1, N2&gt;=1,2, N2&gt;=0,3, N2&lt;=-1,5, N2&lt;=-0.5,4, TRUE,3)</f>
        <v>0</v>
      </c>
      <c r="P2" s="344">
        <f t="shared" ref="P2:P6" si="10">IF(O2="","",O2*12.5/100)</f>
        <v>0</v>
      </c>
      <c r="Q2" s="345">
        <f>'Period Tables'!H12</f>
        <v>5</v>
      </c>
      <c r="R2" s="333">
        <f t="shared" ref="R2:R6" si="11">IFS(Q2="", "", Q2="NA","" ,Q2&lt;3.8,0, Q2&lt;4,1, Q2&lt;4.3,2, Q2&lt;4.5,3, Q2&lt;4.7,4, TRUE,5)</f>
        <v>5</v>
      </c>
      <c r="S2" s="342">
        <f t="shared" ref="S2:S6" si="12">IF(R2="","",R2*17.5/100)</f>
        <v>0.875</v>
      </c>
      <c r="T2" s="346" t="str">
        <f>'Period Tables'!F12</f>
        <v>NA</v>
      </c>
      <c r="U2" s="333" t="str">
        <f t="shared" ref="U2:U6" si="13">IFS(T2="", "", T2="NA","" ,T2&lt;3.8,0, T2&lt;4,1, T2&lt;4.3,2, T2&lt;4.5,3, T2&lt;4.7,4, TRUE,5)</f>
        <v/>
      </c>
      <c r="V2" s="344" t="str">
        <f t="shared" ref="V2:V6" si="14">IF(U2="","",U2*7.5/100)</f>
        <v/>
      </c>
      <c r="W2" s="347">
        <f>'Period Tables'!I20</f>
        <v>0.0405</v>
      </c>
      <c r="X2" s="336">
        <f t="shared" ref="X2:X6" si="15">IFS(W2="", "", W2&gt;6%,0, W2&gt;4%,1, W2&gt;2%,2, W2&gt;1.5%,3, W2&gt;1%,4, TRUE,5)</f>
        <v>1</v>
      </c>
      <c r="Y2" s="342">
        <f t="shared" ref="Y2:Y6" si="16">IF(X2="","",X2*10/100)</f>
        <v>0.1</v>
      </c>
      <c r="Z2" s="348">
        <f>'Period Tables'!H31</f>
        <v>0.57</v>
      </c>
      <c r="AA2" s="333">
        <f t="shared" ref="AA2:AA6" si="17">IFS(Z2="","", VALUE(Z2)&gt;8,0, VALUE(Z2)&gt;5,1, VALUE(Z2)&gt;2,2, VALUE(Z2)&gt;1.5,3, VALUE(Z2)&gt;1,4, TRUE,5)</f>
        <v>5</v>
      </c>
      <c r="AB2" s="344">
        <f t="shared" ref="AB2:AB6" si="18">IF(AA2="","",AA2*7.5/100)</f>
        <v>0.375</v>
      </c>
      <c r="AC2" s="349">
        <f>'Period Tables'!E20</f>
        <v>4</v>
      </c>
      <c r="AD2" s="336">
        <f t="shared" ref="AD2:AD6" si="19">IFS(AC2="", "", AC2&lt;3.8,0, AC2&lt;4,1, AC2&lt;4.3,2, AC2&lt;4.5,3, AC2&lt;4.7,4, TRUE,5)</f>
        <v>2</v>
      </c>
      <c r="AE2" s="342">
        <f t="shared" ref="AE2:AE6" si="20">IF(AD2="","",AD2*7.5/100)</f>
        <v>0.15</v>
      </c>
      <c r="AF2" s="350">
        <v>86.0</v>
      </c>
      <c r="AG2" s="333">
        <f t="shared" ref="AG2:AG6" si="21">IFS(AF2="", "", AF2&lt;70,0, AF2&lt;75,1, AF2&lt;83,2, AF2&lt;89,3, AF2&lt;94,4, TRUE,5)</f>
        <v>3</v>
      </c>
      <c r="AH2" s="344">
        <f t="shared" ref="AH2:AH6" si="22">IF(AG2="","",AG2*12.5/100)</f>
        <v>0.375</v>
      </c>
      <c r="AI2" s="351">
        <v>90.0</v>
      </c>
      <c r="AJ2" s="336">
        <f t="shared" ref="AJ2:AJ6" si="23">IFS(AI2="", "", AI2&lt;70,0, AI2&lt;75,1, AI2&lt;83,2, AI2&lt;89,3, AI2&lt;94,4, TRUE,5)</f>
        <v>4</v>
      </c>
      <c r="AK2" s="342">
        <f t="shared" ref="AK2:AK6" si="24">IF(AJ2="","",AJ2*6.25/100)</f>
        <v>0.25</v>
      </c>
      <c r="AL2" s="350">
        <v>95.0</v>
      </c>
      <c r="AM2" s="333">
        <f t="shared" ref="AM2:AM6" si="25">IFS(AL2="", "", AL2&lt;70,0, AL2&lt;75,1, AL2&lt;83,2, AL2&lt;89,3, AL2&lt;94,4, TRUE,5)</f>
        <v>5</v>
      </c>
      <c r="AN2" s="344">
        <f t="shared" ref="AN2:AN6" si="26">IF(AM2="","",AM2*6.25/100)</f>
        <v>0.3125</v>
      </c>
      <c r="AO2" s="352">
        <v>85.0</v>
      </c>
      <c r="AP2" s="353" t="str">
        <f t="shared" ref="AP2:AP6" si="27">SUM(D2,G2,J2,M2,P2,S2,V2,Y2,AB2,AE2,AH2,AK2,AN2)</f>
        <v>#DIV/0!</v>
      </c>
      <c r="AQ2" s="209"/>
      <c r="AR2" s="234"/>
      <c r="AS2" s="209"/>
      <c r="AT2" s="235"/>
      <c r="AU2" s="235"/>
    </row>
    <row r="3">
      <c r="A3" s="354" t="s">
        <v>132</v>
      </c>
      <c r="B3" s="355">
        <f>100%+'Period Tables'!I4</f>
        <v>1.057140652</v>
      </c>
      <c r="C3" s="356">
        <f t="shared" si="1"/>
        <v>5</v>
      </c>
      <c r="D3" s="357">
        <f t="shared" si="2"/>
        <v>0.25</v>
      </c>
      <c r="E3" s="358">
        <f>100%+'Period Tables'!F4</f>
        <v>1.481524028</v>
      </c>
      <c r="F3" s="359">
        <f t="shared" si="3"/>
        <v>5</v>
      </c>
      <c r="G3" s="360">
        <f t="shared" si="4"/>
        <v>0.25</v>
      </c>
      <c r="H3" s="361" t="str">
        <f>100%+'Period Tables'!V4</f>
        <v>#DIV/0!</v>
      </c>
      <c r="I3" s="362" t="str">
        <f t="shared" si="5"/>
        <v>#DIV/0!</v>
      </c>
      <c r="J3" s="363" t="str">
        <f t="shared" si="6"/>
        <v>#DIV/0!</v>
      </c>
      <c r="K3" s="364">
        <f>'Period Tables'!L4*100</f>
        <v>-5.9</v>
      </c>
      <c r="L3" s="359">
        <f t="shared" si="7"/>
        <v>5</v>
      </c>
      <c r="M3" s="365">
        <f t="shared" si="8"/>
        <v>0.625</v>
      </c>
      <c r="N3" s="366">
        <f>'Period Tables'!O4*100</f>
        <v>1.6</v>
      </c>
      <c r="O3" s="356">
        <f t="shared" si="9"/>
        <v>2</v>
      </c>
      <c r="P3" s="367">
        <f t="shared" si="10"/>
        <v>0.25</v>
      </c>
      <c r="Q3" s="368">
        <f>'Period Tables'!H15</f>
        <v>4.75</v>
      </c>
      <c r="R3" s="356">
        <f t="shared" si="11"/>
        <v>5</v>
      </c>
      <c r="S3" s="365">
        <f t="shared" si="12"/>
        <v>0.875</v>
      </c>
      <c r="T3" s="369">
        <f>'Period Tables'!F15</f>
        <v>4</v>
      </c>
      <c r="U3" s="356">
        <f t="shared" si="13"/>
        <v>2</v>
      </c>
      <c r="V3" s="367">
        <f t="shared" si="14"/>
        <v>0.15</v>
      </c>
      <c r="W3" s="370">
        <f>'Period Tables'!I23</f>
        <v>0.0315</v>
      </c>
      <c r="X3" s="359">
        <f t="shared" si="15"/>
        <v>2</v>
      </c>
      <c r="Y3" s="365">
        <f t="shared" si="16"/>
        <v>0.2</v>
      </c>
      <c r="Z3" s="371">
        <f>'Period Tables'!H34</f>
        <v>1.48</v>
      </c>
      <c r="AA3" s="356">
        <f t="shared" si="17"/>
        <v>4</v>
      </c>
      <c r="AB3" s="367">
        <f t="shared" si="18"/>
        <v>0.3</v>
      </c>
      <c r="AC3" s="372">
        <f>'Period Tables'!E23</f>
        <v>4.4</v>
      </c>
      <c r="AD3" s="359">
        <f t="shared" si="19"/>
        <v>3</v>
      </c>
      <c r="AE3" s="365">
        <f t="shared" si="20"/>
        <v>0.225</v>
      </c>
      <c r="AF3" s="373">
        <v>67.0</v>
      </c>
      <c r="AG3" s="356">
        <f t="shared" si="21"/>
        <v>0</v>
      </c>
      <c r="AH3" s="367">
        <f t="shared" si="22"/>
        <v>0</v>
      </c>
      <c r="AI3" s="374">
        <v>70.0</v>
      </c>
      <c r="AJ3" s="359">
        <f t="shared" si="23"/>
        <v>1</v>
      </c>
      <c r="AK3" s="365">
        <f t="shared" si="24"/>
        <v>0.0625</v>
      </c>
      <c r="AL3" s="373">
        <v>76.0</v>
      </c>
      <c r="AM3" s="356">
        <f t="shared" si="25"/>
        <v>2</v>
      </c>
      <c r="AN3" s="367">
        <f t="shared" si="26"/>
        <v>0.125</v>
      </c>
      <c r="AO3" s="375">
        <v>87.0</v>
      </c>
      <c r="AP3" s="353" t="str">
        <f t="shared" si="27"/>
        <v>#DIV/0!</v>
      </c>
      <c r="AQ3" s="209"/>
      <c r="AR3" s="234"/>
      <c r="AS3" s="209"/>
      <c r="AT3" s="235"/>
      <c r="AU3" s="235"/>
    </row>
    <row r="4">
      <c r="A4" s="354" t="s">
        <v>133</v>
      </c>
      <c r="B4" s="355">
        <f>100%+'Period Tables'!I5</f>
        <v>0.7913728096</v>
      </c>
      <c r="C4" s="356">
        <f t="shared" si="1"/>
        <v>0</v>
      </c>
      <c r="D4" s="357">
        <f t="shared" si="2"/>
        <v>0</v>
      </c>
      <c r="E4" s="358">
        <f>100%+'Period Tables'!F5</f>
        <v>1.196082061</v>
      </c>
      <c r="F4" s="359">
        <f t="shared" si="3"/>
        <v>5</v>
      </c>
      <c r="G4" s="360">
        <f t="shared" si="4"/>
        <v>0.25</v>
      </c>
      <c r="H4" s="361" t="str">
        <f>100%+'Period Tables'!V5</f>
        <v>#DIV/0!</v>
      </c>
      <c r="I4" s="362" t="str">
        <f t="shared" si="5"/>
        <v>#DIV/0!</v>
      </c>
      <c r="J4" s="363" t="str">
        <f t="shared" si="6"/>
        <v>#DIV/0!</v>
      </c>
      <c r="K4" s="364">
        <f>'Period Tables'!L5*100</f>
        <v>0</v>
      </c>
      <c r="L4" s="359">
        <f t="shared" si="7"/>
        <v>3</v>
      </c>
      <c r="M4" s="365">
        <f t="shared" si="8"/>
        <v>0.375</v>
      </c>
      <c r="N4" s="366">
        <f>'Period Tables'!O5*100</f>
        <v>1.3</v>
      </c>
      <c r="O4" s="356">
        <f t="shared" si="9"/>
        <v>2</v>
      </c>
      <c r="P4" s="367">
        <f t="shared" si="10"/>
        <v>0.25</v>
      </c>
      <c r="Q4" s="368">
        <f>'Period Tables'!H13</f>
        <v>3.67</v>
      </c>
      <c r="R4" s="356">
        <f t="shared" si="11"/>
        <v>0</v>
      </c>
      <c r="S4" s="365">
        <f t="shared" si="12"/>
        <v>0</v>
      </c>
      <c r="T4" s="369">
        <f>'Period Tables'!F13</f>
        <v>1</v>
      </c>
      <c r="U4" s="356">
        <f t="shared" si="13"/>
        <v>0</v>
      </c>
      <c r="V4" s="367">
        <f t="shared" si="14"/>
        <v>0</v>
      </c>
      <c r="W4" s="370">
        <f>'Period Tables'!I21</f>
        <v>0.0264</v>
      </c>
      <c r="X4" s="359">
        <f t="shared" si="15"/>
        <v>2</v>
      </c>
      <c r="Y4" s="365">
        <f t="shared" si="16"/>
        <v>0.2</v>
      </c>
      <c r="Z4" s="371">
        <f>'Period Tables'!H32</f>
        <v>0.59</v>
      </c>
      <c r="AA4" s="356">
        <f t="shared" si="17"/>
        <v>5</v>
      </c>
      <c r="AB4" s="367">
        <f t="shared" si="18"/>
        <v>0.375</v>
      </c>
      <c r="AC4" s="372">
        <f>'Period Tables'!E21</f>
        <v>4.5</v>
      </c>
      <c r="AD4" s="359">
        <f t="shared" si="19"/>
        <v>4</v>
      </c>
      <c r="AE4" s="365">
        <f t="shared" si="20"/>
        <v>0.3</v>
      </c>
      <c r="AF4" s="373">
        <v>72.0</v>
      </c>
      <c r="AG4" s="356">
        <f t="shared" si="21"/>
        <v>1</v>
      </c>
      <c r="AH4" s="367">
        <f t="shared" si="22"/>
        <v>0.125</v>
      </c>
      <c r="AI4" s="374">
        <v>76.0</v>
      </c>
      <c r="AJ4" s="359">
        <f t="shared" si="23"/>
        <v>2</v>
      </c>
      <c r="AK4" s="365">
        <f t="shared" si="24"/>
        <v>0.125</v>
      </c>
      <c r="AL4" s="373">
        <v>78.0</v>
      </c>
      <c r="AM4" s="356">
        <f t="shared" si="25"/>
        <v>2</v>
      </c>
      <c r="AN4" s="367">
        <f t="shared" si="26"/>
        <v>0.125</v>
      </c>
      <c r="AO4" s="375">
        <v>93.0</v>
      </c>
      <c r="AP4" s="353" t="str">
        <f t="shared" si="27"/>
        <v>#DIV/0!</v>
      </c>
      <c r="AQ4" s="209"/>
      <c r="AR4" s="234"/>
      <c r="AS4" s="209"/>
      <c r="AT4" s="235"/>
      <c r="AU4" s="235"/>
    </row>
    <row r="5">
      <c r="A5" s="354" t="s">
        <v>134</v>
      </c>
      <c r="B5" s="355">
        <f>100%+'Period Tables'!I6</f>
        <v>0.8703104349</v>
      </c>
      <c r="C5" s="356">
        <f t="shared" si="1"/>
        <v>0</v>
      </c>
      <c r="D5" s="357">
        <f t="shared" si="2"/>
        <v>0</v>
      </c>
      <c r="E5" s="358">
        <f>100%+'Period Tables'!F6</f>
        <v>1.021909008</v>
      </c>
      <c r="F5" s="359">
        <f t="shared" si="3"/>
        <v>4</v>
      </c>
      <c r="G5" s="360">
        <f t="shared" si="4"/>
        <v>0.2</v>
      </c>
      <c r="H5" s="361" t="str">
        <f>100%+'Period Tables'!V6</f>
        <v>#DIV/0!</v>
      </c>
      <c r="I5" s="362" t="str">
        <f t="shared" si="5"/>
        <v>#DIV/0!</v>
      </c>
      <c r="J5" s="363" t="str">
        <f t="shared" si="6"/>
        <v>#DIV/0!</v>
      </c>
      <c r="K5" s="364">
        <f>'Period Tables'!L6*100</f>
        <v>3.2</v>
      </c>
      <c r="L5" s="359">
        <f t="shared" si="7"/>
        <v>0</v>
      </c>
      <c r="M5" s="365">
        <f t="shared" si="8"/>
        <v>0</v>
      </c>
      <c r="N5" s="366">
        <f>'Period Tables'!O6*100</f>
        <v>2.7</v>
      </c>
      <c r="O5" s="356">
        <f t="shared" si="9"/>
        <v>1</v>
      </c>
      <c r="P5" s="367">
        <f t="shared" si="10"/>
        <v>0.125</v>
      </c>
      <c r="Q5" s="368">
        <f>'Period Tables'!H14</f>
        <v>4.33</v>
      </c>
      <c r="R5" s="356">
        <f t="shared" si="11"/>
        <v>3</v>
      </c>
      <c r="S5" s="365">
        <f t="shared" si="12"/>
        <v>0.525</v>
      </c>
      <c r="T5" s="369" t="str">
        <f>'Period Tables'!F14</f>
        <v>NA</v>
      </c>
      <c r="U5" s="356" t="str">
        <f t="shared" si="13"/>
        <v/>
      </c>
      <c r="V5" s="367" t="str">
        <f t="shared" si="14"/>
        <v/>
      </c>
      <c r="W5" s="370">
        <f>'Period Tables'!I22</f>
        <v>0.0315</v>
      </c>
      <c r="X5" s="359">
        <f t="shared" si="15"/>
        <v>2</v>
      </c>
      <c r="Y5" s="365">
        <f t="shared" si="16"/>
        <v>0.2</v>
      </c>
      <c r="Z5" s="371">
        <f>'Period Tables'!H33</f>
        <v>1.14</v>
      </c>
      <c r="AA5" s="356">
        <f t="shared" si="17"/>
        <v>4</v>
      </c>
      <c r="AB5" s="367">
        <f t="shared" si="18"/>
        <v>0.3</v>
      </c>
      <c r="AC5" s="372">
        <f>'Period Tables'!E22</f>
        <v>4.3</v>
      </c>
      <c r="AD5" s="359">
        <f t="shared" si="19"/>
        <v>3</v>
      </c>
      <c r="AE5" s="365">
        <f t="shared" si="20"/>
        <v>0.225</v>
      </c>
      <c r="AF5" s="373">
        <v>70.0</v>
      </c>
      <c r="AG5" s="356">
        <f t="shared" si="21"/>
        <v>1</v>
      </c>
      <c r="AH5" s="367">
        <f t="shared" si="22"/>
        <v>0.125</v>
      </c>
      <c r="AI5" s="374">
        <v>75.0</v>
      </c>
      <c r="AJ5" s="359">
        <f t="shared" si="23"/>
        <v>2</v>
      </c>
      <c r="AK5" s="365">
        <f t="shared" si="24"/>
        <v>0.125</v>
      </c>
      <c r="AL5" s="373">
        <v>71.0</v>
      </c>
      <c r="AM5" s="356">
        <f t="shared" si="25"/>
        <v>1</v>
      </c>
      <c r="AN5" s="367">
        <f t="shared" si="26"/>
        <v>0.0625</v>
      </c>
      <c r="AO5" s="376">
        <v>80.0</v>
      </c>
      <c r="AP5" s="353" t="str">
        <f t="shared" si="27"/>
        <v>#DIV/0!</v>
      </c>
      <c r="AQ5" s="209"/>
      <c r="AR5" s="234"/>
      <c r="AS5" s="209"/>
      <c r="AT5" s="235"/>
      <c r="AU5" s="235"/>
    </row>
    <row r="6">
      <c r="A6" s="331" t="s">
        <v>135</v>
      </c>
      <c r="B6" s="377">
        <f>100%+'Period Tables'!I7</f>
        <v>0.7840265131</v>
      </c>
      <c r="C6" s="378">
        <f t="shared" si="1"/>
        <v>0</v>
      </c>
      <c r="D6" s="379">
        <f t="shared" si="2"/>
        <v>0</v>
      </c>
      <c r="E6" s="380">
        <f>100%+'Period Tables'!F7</f>
        <v>1.084955287</v>
      </c>
      <c r="F6" s="381">
        <f t="shared" si="3"/>
        <v>5</v>
      </c>
      <c r="G6" s="382">
        <f t="shared" si="4"/>
        <v>0.25</v>
      </c>
      <c r="H6" s="383" t="str">
        <f>100%+'Period Tables'!V7</f>
        <v>#DIV/0!</v>
      </c>
      <c r="I6" s="384" t="str">
        <f t="shared" si="5"/>
        <v>#DIV/0!</v>
      </c>
      <c r="J6" s="385" t="str">
        <f t="shared" si="6"/>
        <v>#DIV/0!</v>
      </c>
      <c r="K6" s="386">
        <f>'Period Tables'!L7*100</f>
        <v>4.5</v>
      </c>
      <c r="L6" s="381">
        <f t="shared" si="7"/>
        <v>0</v>
      </c>
      <c r="M6" s="387">
        <f t="shared" si="8"/>
        <v>0</v>
      </c>
      <c r="N6" s="388">
        <f>'Period Tables'!O7*100</f>
        <v>2</v>
      </c>
      <c r="O6" s="378">
        <f t="shared" si="9"/>
        <v>1</v>
      </c>
      <c r="P6" s="389">
        <f t="shared" si="10"/>
        <v>0.125</v>
      </c>
      <c r="Q6" s="390">
        <f>'Period Tables'!H16</f>
        <v>4.47</v>
      </c>
      <c r="R6" s="378">
        <f t="shared" si="11"/>
        <v>3</v>
      </c>
      <c r="S6" s="387">
        <f t="shared" si="12"/>
        <v>0.525</v>
      </c>
      <c r="T6" s="391" t="str">
        <f>'Period Tables'!F16</f>
        <v>NA</v>
      </c>
      <c r="U6" s="378" t="str">
        <f t="shared" si="13"/>
        <v/>
      </c>
      <c r="V6" s="389" t="str">
        <f t="shared" si="14"/>
        <v/>
      </c>
      <c r="W6" s="392">
        <f>'Period Tables'!I24</f>
        <v>0.045</v>
      </c>
      <c r="X6" s="381">
        <f t="shared" si="15"/>
        <v>1</v>
      </c>
      <c r="Y6" s="387">
        <f t="shared" si="16"/>
        <v>0.1</v>
      </c>
      <c r="Z6" s="393">
        <f>'Period Tables'!H30</f>
        <v>2.03</v>
      </c>
      <c r="AA6" s="378">
        <f t="shared" si="17"/>
        <v>2</v>
      </c>
      <c r="AB6" s="389">
        <f t="shared" si="18"/>
        <v>0.15</v>
      </c>
      <c r="AC6" s="394">
        <f>'Period Tables'!E24</f>
        <v>4.3</v>
      </c>
      <c r="AD6" s="381">
        <f t="shared" si="19"/>
        <v>3</v>
      </c>
      <c r="AE6" s="387">
        <f t="shared" si="20"/>
        <v>0.225</v>
      </c>
      <c r="AF6" s="395">
        <v>56.0</v>
      </c>
      <c r="AG6" s="378">
        <f t="shared" si="21"/>
        <v>0</v>
      </c>
      <c r="AH6" s="389">
        <f t="shared" si="22"/>
        <v>0</v>
      </c>
      <c r="AI6" s="396">
        <v>60.0</v>
      </c>
      <c r="AJ6" s="381">
        <f t="shared" si="23"/>
        <v>0</v>
      </c>
      <c r="AK6" s="387">
        <f t="shared" si="24"/>
        <v>0</v>
      </c>
      <c r="AL6" s="395">
        <v>60.0</v>
      </c>
      <c r="AM6" s="378">
        <f t="shared" si="25"/>
        <v>0</v>
      </c>
      <c r="AN6" s="389">
        <f t="shared" si="26"/>
        <v>0</v>
      </c>
      <c r="AO6" s="397">
        <v>78.0</v>
      </c>
      <c r="AP6" s="353" t="str">
        <f t="shared" si="27"/>
        <v>#DIV/0!</v>
      </c>
      <c r="AQ6" s="209"/>
      <c r="AR6" s="234"/>
      <c r="AS6" s="209"/>
      <c r="AT6" s="235"/>
      <c r="AU6" s="235"/>
    </row>
    <row r="7">
      <c r="D7" s="158"/>
      <c r="G7" s="158"/>
      <c r="K7" s="276"/>
      <c r="N7" s="276"/>
      <c r="T7" s="277"/>
      <c r="Z7" s="398" t="str">
        <f>'Period Tables'!K36</f>
        <v/>
      </c>
    </row>
    <row r="8">
      <c r="D8" s="158"/>
      <c r="G8" s="158"/>
      <c r="K8" s="399"/>
      <c r="N8" s="276"/>
      <c r="T8" s="277"/>
      <c r="Z8" s="398" t="str">
        <f>'Period Tables'!K39</f>
        <v/>
      </c>
    </row>
    <row r="9">
      <c r="D9" s="158"/>
      <c r="G9" s="158"/>
      <c r="K9" s="276"/>
      <c r="N9" s="276"/>
      <c r="T9" s="277"/>
      <c r="Z9" s="398" t="str">
        <f>'Period Tables'!K37</f>
        <v/>
      </c>
    </row>
    <row r="10">
      <c r="D10" s="158"/>
      <c r="G10" s="158"/>
      <c r="K10" s="276"/>
      <c r="N10" s="276"/>
      <c r="T10" s="277"/>
      <c r="Z10" s="398" t="str">
        <f>'Period Tables'!K38</f>
        <v/>
      </c>
    </row>
    <row r="11">
      <c r="D11" s="158"/>
      <c r="G11" s="158"/>
      <c r="K11" s="276"/>
      <c r="N11" s="276"/>
      <c r="T11" s="277"/>
      <c r="Z11" s="398" t="str">
        <f>'Period Tables'!K35</f>
        <v/>
      </c>
    </row>
    <row r="12">
      <c r="D12" s="158"/>
      <c r="G12" s="158"/>
      <c r="K12" s="276"/>
      <c r="N12" s="276"/>
      <c r="T12" s="277"/>
      <c r="Z12" s="398" t="str">
        <f>'Period Tables'!K41</f>
        <v/>
      </c>
    </row>
    <row r="13">
      <c r="D13" s="158"/>
      <c r="G13" s="158"/>
      <c r="K13" s="276"/>
      <c r="N13" s="276"/>
      <c r="T13" s="277"/>
      <c r="Z13" s="398" t="str">
        <f>'Period Tables'!K42</f>
        <v/>
      </c>
    </row>
    <row r="14">
      <c r="D14" s="158"/>
      <c r="G14" s="158"/>
      <c r="K14" s="276"/>
      <c r="N14" s="276"/>
      <c r="T14" s="277"/>
      <c r="Z14" s="398" t="str">
        <f>'Period Tables'!K45</f>
        <v/>
      </c>
    </row>
    <row r="15">
      <c r="D15" s="158"/>
      <c r="G15" s="158"/>
      <c r="K15" s="276"/>
      <c r="N15" s="276"/>
      <c r="T15" s="277"/>
      <c r="Z15" s="398" t="str">
        <f>'Period Tables'!K43</f>
        <v/>
      </c>
    </row>
    <row r="16">
      <c r="D16" s="158"/>
      <c r="G16" s="158"/>
      <c r="K16" s="276"/>
      <c r="N16" s="276"/>
      <c r="T16" s="277"/>
      <c r="Z16" s="398" t="str">
        <f>'Period Tables'!K44</f>
        <v/>
      </c>
    </row>
    <row r="17">
      <c r="D17" s="158"/>
      <c r="G17" s="158"/>
      <c r="K17" s="276"/>
      <c r="N17" s="276"/>
      <c r="T17" s="277"/>
      <c r="Z17" s="398" t="str">
        <f>'Period Tables'!K41</f>
        <v/>
      </c>
    </row>
    <row r="18">
      <c r="D18" s="158"/>
      <c r="G18" s="158"/>
      <c r="K18" s="276"/>
      <c r="N18" s="276"/>
      <c r="T18" s="277"/>
      <c r="Z18" s="278"/>
    </row>
    <row r="19">
      <c r="D19" s="158"/>
      <c r="G19" s="158"/>
      <c r="K19" s="276"/>
      <c r="N19" s="276"/>
      <c r="T19" s="277"/>
      <c r="Z19" s="278"/>
    </row>
    <row r="20">
      <c r="D20" s="158"/>
      <c r="G20" s="158"/>
      <c r="K20" s="276"/>
      <c r="N20" s="276"/>
      <c r="T20" s="277"/>
      <c r="Z20" s="278"/>
    </row>
    <row r="21" ht="15.75" customHeight="1">
      <c r="D21" s="158"/>
      <c r="G21" s="158"/>
      <c r="K21" s="276"/>
      <c r="N21" s="276"/>
      <c r="T21" s="277"/>
      <c r="Z21" s="278"/>
    </row>
    <row r="22" ht="15.75" customHeight="1">
      <c r="D22" s="158"/>
      <c r="G22" s="158"/>
      <c r="K22" s="276"/>
      <c r="N22" s="276"/>
      <c r="T22" s="277"/>
      <c r="Z22" s="278"/>
    </row>
    <row r="23" ht="15.75" customHeight="1">
      <c r="D23" s="158"/>
      <c r="G23" s="158"/>
      <c r="K23" s="276"/>
      <c r="N23" s="276"/>
      <c r="T23" s="277"/>
      <c r="Z23" s="278"/>
    </row>
    <row r="24" ht="15.75" customHeight="1">
      <c r="D24" s="158"/>
      <c r="G24" s="158"/>
      <c r="K24" s="276"/>
      <c r="N24" s="276"/>
      <c r="T24" s="277"/>
      <c r="Z24" s="278"/>
    </row>
    <row r="25" ht="15.75" customHeight="1">
      <c r="D25" s="158"/>
      <c r="G25" s="158"/>
      <c r="K25" s="276"/>
      <c r="N25" s="276"/>
      <c r="T25" s="277"/>
      <c r="Z25" s="278"/>
    </row>
    <row r="26" ht="15.75" customHeight="1">
      <c r="D26" s="158"/>
      <c r="G26" s="158"/>
      <c r="K26" s="276"/>
      <c r="N26" s="276"/>
      <c r="T26" s="277"/>
      <c r="Z26" s="278"/>
    </row>
    <row r="27" ht="15.75" customHeight="1">
      <c r="D27" s="158"/>
      <c r="G27" s="158"/>
      <c r="K27" s="276"/>
      <c r="N27" s="276"/>
      <c r="T27" s="277"/>
      <c r="Z27" s="278"/>
    </row>
    <row r="28" ht="15.75" customHeight="1">
      <c r="D28" s="158"/>
      <c r="G28" s="158"/>
      <c r="K28" s="276"/>
      <c r="N28" s="276"/>
      <c r="T28" s="277"/>
      <c r="Z28" s="278"/>
    </row>
    <row r="29" ht="15.75" customHeight="1">
      <c r="D29" s="158"/>
      <c r="G29" s="158"/>
      <c r="K29" s="276"/>
      <c r="N29" s="276"/>
      <c r="T29" s="277"/>
      <c r="Z29" s="278"/>
    </row>
    <row r="30" ht="15.75" customHeight="1">
      <c r="D30" s="158"/>
      <c r="G30" s="158"/>
      <c r="K30" s="276"/>
      <c r="N30" s="276"/>
      <c r="T30" s="277"/>
      <c r="Z30" s="278"/>
    </row>
    <row r="31" ht="15.75" customHeight="1">
      <c r="D31" s="158"/>
      <c r="G31" s="158"/>
      <c r="K31" s="276"/>
      <c r="N31" s="276"/>
      <c r="T31" s="277"/>
      <c r="Z31" s="278"/>
    </row>
    <row r="32" ht="15.75" customHeight="1">
      <c r="D32" s="158"/>
      <c r="G32" s="158"/>
      <c r="K32" s="276"/>
      <c r="N32" s="276"/>
      <c r="T32" s="277"/>
      <c r="Z32" s="278"/>
    </row>
    <row r="33" ht="15.75" customHeight="1">
      <c r="D33" s="158"/>
      <c r="G33" s="158"/>
      <c r="K33" s="276"/>
      <c r="N33" s="276"/>
      <c r="T33" s="277"/>
      <c r="Z33" s="278"/>
    </row>
    <row r="34" ht="15.75" customHeight="1">
      <c r="D34" s="158"/>
      <c r="G34" s="158"/>
      <c r="K34" s="276"/>
      <c r="N34" s="276"/>
      <c r="T34" s="277"/>
      <c r="Z34" s="278"/>
    </row>
    <row r="35" ht="15.75" customHeight="1">
      <c r="D35" s="158"/>
      <c r="G35" s="158"/>
      <c r="K35" s="276"/>
      <c r="N35" s="276"/>
      <c r="T35" s="277"/>
      <c r="Z35" s="278"/>
    </row>
    <row r="36" ht="15.75" customHeight="1">
      <c r="D36" s="158"/>
      <c r="G36" s="158"/>
      <c r="K36" s="276"/>
      <c r="N36" s="276"/>
      <c r="T36" s="277"/>
      <c r="Z36" s="278"/>
    </row>
    <row r="37" ht="15.75" customHeight="1">
      <c r="D37" s="158"/>
      <c r="G37" s="158"/>
      <c r="K37" s="276"/>
      <c r="N37" s="276"/>
      <c r="T37" s="277"/>
      <c r="Z37" s="278"/>
    </row>
    <row r="38" ht="15.75" customHeight="1">
      <c r="D38" s="158"/>
      <c r="G38" s="158"/>
      <c r="K38" s="276"/>
      <c r="N38" s="276"/>
      <c r="T38" s="277"/>
      <c r="Z38" s="278"/>
    </row>
    <row r="39" ht="15.75" customHeight="1">
      <c r="D39" s="158"/>
      <c r="G39" s="158"/>
      <c r="K39" s="276"/>
      <c r="N39" s="276"/>
      <c r="T39" s="277"/>
      <c r="Z39" s="278"/>
    </row>
    <row r="40" ht="15.75" customHeight="1">
      <c r="D40" s="158"/>
      <c r="G40" s="158"/>
      <c r="K40" s="276"/>
      <c r="N40" s="276"/>
      <c r="T40" s="277"/>
      <c r="Z40" s="278"/>
    </row>
    <row r="41" ht="15.75" customHeight="1">
      <c r="D41" s="158"/>
      <c r="G41" s="158"/>
      <c r="K41" s="276"/>
      <c r="N41" s="276"/>
      <c r="T41" s="277"/>
      <c r="Z41" s="278"/>
    </row>
    <row r="42" ht="15.75" customHeight="1">
      <c r="D42" s="158"/>
      <c r="G42" s="158"/>
      <c r="K42" s="276"/>
      <c r="N42" s="276"/>
      <c r="T42" s="277"/>
      <c r="Z42" s="278"/>
    </row>
    <row r="43" ht="15.75" customHeight="1">
      <c r="D43" s="158"/>
      <c r="G43" s="158"/>
      <c r="K43" s="276"/>
      <c r="N43" s="276"/>
      <c r="T43" s="277"/>
      <c r="Z43" s="278"/>
    </row>
    <row r="44" ht="15.75" customHeight="1">
      <c r="D44" s="158"/>
      <c r="G44" s="158"/>
      <c r="K44" s="276"/>
      <c r="N44" s="276"/>
      <c r="T44" s="277"/>
      <c r="Z44" s="278"/>
    </row>
    <row r="45" ht="15.75" customHeight="1">
      <c r="D45" s="158"/>
      <c r="G45" s="158"/>
      <c r="K45" s="276"/>
      <c r="N45" s="276"/>
      <c r="T45" s="277"/>
      <c r="Z45" s="278"/>
    </row>
    <row r="46" ht="15.75" customHeight="1">
      <c r="D46" s="158"/>
      <c r="G46" s="158"/>
      <c r="K46" s="276"/>
      <c r="N46" s="276"/>
      <c r="T46" s="277"/>
      <c r="Z46" s="278"/>
    </row>
    <row r="47" ht="15.75" customHeight="1">
      <c r="D47" s="158"/>
      <c r="G47" s="158"/>
      <c r="K47" s="276"/>
      <c r="N47" s="276"/>
      <c r="T47" s="277"/>
      <c r="Z47" s="278"/>
    </row>
    <row r="48" ht="15.75" customHeight="1">
      <c r="D48" s="158"/>
      <c r="G48" s="158"/>
      <c r="K48" s="276"/>
      <c r="N48" s="276"/>
      <c r="T48" s="277"/>
      <c r="Z48" s="278"/>
    </row>
    <row r="49" ht="15.75" customHeight="1">
      <c r="D49" s="158"/>
      <c r="G49" s="158"/>
      <c r="K49" s="276"/>
      <c r="N49" s="276"/>
      <c r="T49" s="277"/>
      <c r="Z49" s="278"/>
    </row>
    <row r="50" ht="15.75" customHeight="1">
      <c r="D50" s="158"/>
      <c r="G50" s="158"/>
      <c r="K50" s="276"/>
      <c r="N50" s="276"/>
      <c r="T50" s="277"/>
      <c r="Z50" s="278"/>
    </row>
    <row r="51" ht="15.75" customHeight="1">
      <c r="D51" s="158"/>
      <c r="G51" s="158"/>
      <c r="K51" s="276"/>
      <c r="N51" s="276"/>
      <c r="T51" s="277"/>
      <c r="Z51" s="278"/>
    </row>
    <row r="52" ht="15.75" customHeight="1">
      <c r="D52" s="158"/>
      <c r="G52" s="158"/>
      <c r="K52" s="276"/>
      <c r="N52" s="276"/>
      <c r="T52" s="277"/>
      <c r="Z52" s="278"/>
    </row>
    <row r="53" ht="15.75" customHeight="1">
      <c r="D53" s="158"/>
      <c r="G53" s="158"/>
      <c r="K53" s="276"/>
      <c r="N53" s="276"/>
      <c r="T53" s="277"/>
      <c r="Z53" s="278"/>
    </row>
    <row r="54" ht="15.75" customHeight="1">
      <c r="D54" s="158"/>
      <c r="G54" s="158"/>
      <c r="K54" s="276"/>
      <c r="N54" s="276"/>
      <c r="T54" s="277"/>
      <c r="Z54" s="278"/>
    </row>
    <row r="55" ht="15.75" customHeight="1">
      <c r="D55" s="158"/>
      <c r="G55" s="158"/>
      <c r="K55" s="276"/>
      <c r="N55" s="276"/>
      <c r="T55" s="277"/>
      <c r="Z55" s="278"/>
    </row>
    <row r="56" ht="15.75" customHeight="1">
      <c r="D56" s="158"/>
      <c r="G56" s="158"/>
      <c r="K56" s="276"/>
      <c r="N56" s="276"/>
      <c r="T56" s="277"/>
      <c r="Z56" s="278"/>
    </row>
    <row r="57" ht="15.75" customHeight="1">
      <c r="D57" s="158"/>
      <c r="G57" s="158"/>
      <c r="K57" s="276"/>
      <c r="N57" s="276"/>
      <c r="T57" s="277"/>
      <c r="Z57" s="278"/>
    </row>
    <row r="58" ht="15.75" customHeight="1">
      <c r="D58" s="158"/>
      <c r="G58" s="158"/>
      <c r="K58" s="276"/>
      <c r="N58" s="276"/>
      <c r="T58" s="277"/>
      <c r="Z58" s="278"/>
    </row>
    <row r="59" ht="15.75" customHeight="1">
      <c r="D59" s="158"/>
      <c r="G59" s="158"/>
      <c r="K59" s="276"/>
      <c r="N59" s="276"/>
      <c r="T59" s="277"/>
      <c r="Z59" s="278"/>
    </row>
    <row r="60" ht="15.75" customHeight="1">
      <c r="D60" s="158"/>
      <c r="G60" s="158"/>
      <c r="K60" s="276"/>
      <c r="N60" s="276"/>
      <c r="T60" s="277"/>
      <c r="Z60" s="278"/>
    </row>
    <row r="61" ht="15.75" customHeight="1">
      <c r="D61" s="158"/>
      <c r="G61" s="158"/>
      <c r="K61" s="276"/>
      <c r="N61" s="276"/>
      <c r="T61" s="277"/>
      <c r="Z61" s="278"/>
    </row>
    <row r="62" ht="15.75" customHeight="1">
      <c r="D62" s="158"/>
      <c r="G62" s="158"/>
      <c r="K62" s="276"/>
      <c r="N62" s="276"/>
      <c r="T62" s="277"/>
      <c r="Z62" s="278"/>
    </row>
    <row r="63" ht="15.75" customHeight="1">
      <c r="D63" s="158"/>
      <c r="G63" s="158"/>
      <c r="K63" s="276"/>
      <c r="N63" s="276"/>
      <c r="T63" s="277"/>
      <c r="Z63" s="278"/>
    </row>
    <row r="64" ht="15.75" customHeight="1">
      <c r="D64" s="158"/>
      <c r="G64" s="158"/>
      <c r="K64" s="276"/>
      <c r="N64" s="276"/>
      <c r="T64" s="277"/>
      <c r="Z64" s="278"/>
    </row>
    <row r="65" ht="15.75" customHeight="1">
      <c r="D65" s="158"/>
      <c r="G65" s="158"/>
      <c r="K65" s="276"/>
      <c r="N65" s="276"/>
      <c r="T65" s="277"/>
      <c r="Z65" s="278"/>
    </row>
    <row r="66" ht="15.75" customHeight="1">
      <c r="D66" s="158"/>
      <c r="G66" s="158"/>
      <c r="K66" s="276"/>
      <c r="N66" s="276"/>
      <c r="T66" s="277"/>
      <c r="Z66" s="278"/>
    </row>
    <row r="67" ht="15.75" customHeight="1">
      <c r="D67" s="158"/>
      <c r="G67" s="158"/>
      <c r="K67" s="276"/>
      <c r="N67" s="276"/>
      <c r="T67" s="277"/>
      <c r="Z67" s="278"/>
    </row>
    <row r="68" ht="15.75" customHeight="1">
      <c r="D68" s="158"/>
      <c r="G68" s="158"/>
      <c r="K68" s="276"/>
      <c r="N68" s="276"/>
      <c r="T68" s="277"/>
      <c r="Z68" s="278"/>
    </row>
    <row r="69" ht="15.75" customHeight="1">
      <c r="D69" s="158"/>
      <c r="G69" s="158"/>
      <c r="K69" s="276"/>
      <c r="N69" s="276"/>
      <c r="T69" s="277"/>
      <c r="Z69" s="278"/>
    </row>
    <row r="70" ht="15.75" customHeight="1">
      <c r="D70" s="158"/>
      <c r="G70" s="158"/>
      <c r="K70" s="276"/>
      <c r="N70" s="276"/>
      <c r="T70" s="277"/>
      <c r="Z70" s="278"/>
    </row>
    <row r="71" ht="15.75" customHeight="1">
      <c r="D71" s="158"/>
      <c r="G71" s="158"/>
      <c r="K71" s="276"/>
      <c r="N71" s="276"/>
      <c r="T71" s="277"/>
      <c r="Z71" s="278"/>
    </row>
    <row r="72" ht="15.75" customHeight="1">
      <c r="D72" s="158"/>
      <c r="G72" s="158"/>
      <c r="K72" s="276"/>
      <c r="N72" s="276"/>
      <c r="T72" s="277"/>
      <c r="Z72" s="278"/>
    </row>
    <row r="73" ht="15.75" customHeight="1">
      <c r="D73" s="158"/>
      <c r="G73" s="158"/>
      <c r="K73" s="276"/>
      <c r="N73" s="276"/>
      <c r="T73" s="277"/>
      <c r="Z73" s="278"/>
    </row>
    <row r="74" ht="15.75" customHeight="1">
      <c r="D74" s="158"/>
      <c r="G74" s="158"/>
      <c r="K74" s="276"/>
      <c r="N74" s="276"/>
      <c r="T74" s="277"/>
      <c r="Z74" s="278"/>
    </row>
    <row r="75" ht="15.75" customHeight="1">
      <c r="D75" s="158"/>
      <c r="G75" s="158"/>
      <c r="K75" s="276"/>
      <c r="N75" s="276"/>
      <c r="T75" s="277"/>
      <c r="Z75" s="278"/>
    </row>
    <row r="76" ht="15.75" customHeight="1">
      <c r="D76" s="158"/>
      <c r="G76" s="158"/>
      <c r="K76" s="276"/>
      <c r="N76" s="276"/>
      <c r="T76" s="277"/>
      <c r="Z76" s="278"/>
    </row>
    <row r="77" ht="15.75" customHeight="1">
      <c r="D77" s="158"/>
      <c r="G77" s="158"/>
      <c r="K77" s="276"/>
      <c r="N77" s="276"/>
      <c r="T77" s="277"/>
      <c r="Z77" s="278"/>
    </row>
    <row r="78" ht="15.75" customHeight="1">
      <c r="D78" s="158"/>
      <c r="G78" s="158"/>
      <c r="K78" s="276"/>
      <c r="N78" s="276"/>
      <c r="T78" s="277"/>
      <c r="Z78" s="278"/>
    </row>
    <row r="79" ht="15.75" customHeight="1">
      <c r="D79" s="158"/>
      <c r="G79" s="158"/>
      <c r="K79" s="276"/>
      <c r="N79" s="276"/>
      <c r="T79" s="277"/>
      <c r="Z79" s="278"/>
    </row>
    <row r="80" ht="15.75" customHeight="1">
      <c r="D80" s="158"/>
      <c r="G80" s="158"/>
      <c r="K80" s="276"/>
      <c r="N80" s="276"/>
      <c r="T80" s="277"/>
      <c r="Z80" s="278"/>
    </row>
    <row r="81" ht="15.75" customHeight="1">
      <c r="D81" s="158"/>
      <c r="G81" s="158"/>
      <c r="K81" s="276"/>
      <c r="N81" s="276"/>
      <c r="T81" s="277"/>
      <c r="Z81" s="278"/>
    </row>
    <row r="82" ht="15.75" customHeight="1">
      <c r="D82" s="158"/>
      <c r="G82" s="158"/>
      <c r="K82" s="276"/>
      <c r="N82" s="276"/>
      <c r="T82" s="277"/>
      <c r="Z82" s="278"/>
    </row>
    <row r="83" ht="15.75" customHeight="1">
      <c r="D83" s="158"/>
      <c r="G83" s="158"/>
      <c r="K83" s="276"/>
      <c r="N83" s="276"/>
      <c r="T83" s="277"/>
      <c r="Z83" s="278"/>
    </row>
    <row r="84" ht="15.75" customHeight="1">
      <c r="D84" s="158"/>
      <c r="G84" s="158"/>
      <c r="K84" s="276"/>
      <c r="N84" s="276"/>
      <c r="T84" s="277"/>
      <c r="Z84" s="278"/>
    </row>
    <row r="85" ht="15.75" customHeight="1">
      <c r="D85" s="158"/>
      <c r="G85" s="158"/>
      <c r="K85" s="276"/>
      <c r="N85" s="276"/>
      <c r="T85" s="277"/>
      <c r="Z85" s="278"/>
    </row>
    <row r="86" ht="15.75" customHeight="1">
      <c r="D86" s="158"/>
      <c r="G86" s="158"/>
      <c r="K86" s="276"/>
      <c r="N86" s="276"/>
      <c r="T86" s="277"/>
      <c r="Z86" s="278"/>
    </row>
    <row r="87" ht="15.75" customHeight="1">
      <c r="D87" s="158"/>
      <c r="G87" s="158"/>
      <c r="K87" s="276"/>
      <c r="N87" s="276"/>
      <c r="T87" s="277"/>
      <c r="Z87" s="278"/>
    </row>
    <row r="88" ht="15.75" customHeight="1">
      <c r="D88" s="158"/>
      <c r="G88" s="158"/>
      <c r="K88" s="276"/>
      <c r="N88" s="276"/>
      <c r="T88" s="277"/>
      <c r="Z88" s="278"/>
    </row>
    <row r="89" ht="15.75" customHeight="1">
      <c r="D89" s="158"/>
      <c r="G89" s="158"/>
      <c r="K89" s="276"/>
      <c r="N89" s="276"/>
      <c r="T89" s="277"/>
      <c r="Z89" s="278"/>
    </row>
    <row r="90" ht="15.75" customHeight="1">
      <c r="D90" s="158"/>
      <c r="G90" s="158"/>
      <c r="K90" s="276"/>
      <c r="N90" s="276"/>
      <c r="T90" s="277"/>
      <c r="Z90" s="278"/>
    </row>
    <row r="91" ht="15.75" customHeight="1">
      <c r="D91" s="158"/>
      <c r="G91" s="158"/>
      <c r="K91" s="276"/>
      <c r="N91" s="276"/>
      <c r="T91" s="277"/>
      <c r="Z91" s="278"/>
    </row>
    <row r="92" ht="15.75" customHeight="1">
      <c r="D92" s="158"/>
      <c r="G92" s="158"/>
      <c r="K92" s="276"/>
      <c r="N92" s="276"/>
      <c r="T92" s="277"/>
      <c r="Z92" s="278"/>
    </row>
    <row r="93" ht="15.75" customHeight="1">
      <c r="D93" s="158"/>
      <c r="G93" s="158"/>
      <c r="K93" s="276"/>
      <c r="N93" s="276"/>
      <c r="T93" s="277"/>
      <c r="Z93" s="278"/>
    </row>
    <row r="94" ht="15.75" customHeight="1">
      <c r="D94" s="158"/>
      <c r="G94" s="158"/>
      <c r="K94" s="276"/>
      <c r="N94" s="276"/>
      <c r="T94" s="277"/>
      <c r="Z94" s="278"/>
    </row>
    <row r="95" ht="15.75" customHeight="1">
      <c r="D95" s="158"/>
      <c r="G95" s="158"/>
      <c r="K95" s="276"/>
      <c r="N95" s="276"/>
      <c r="T95" s="277"/>
      <c r="Z95" s="278"/>
    </row>
    <row r="96" ht="15.75" customHeight="1">
      <c r="D96" s="158"/>
      <c r="G96" s="158"/>
      <c r="K96" s="276"/>
      <c r="N96" s="276"/>
      <c r="T96" s="277"/>
      <c r="Z96" s="278"/>
    </row>
    <row r="97" ht="15.75" customHeight="1">
      <c r="D97" s="158"/>
      <c r="G97" s="158"/>
      <c r="K97" s="276"/>
      <c r="N97" s="276"/>
      <c r="T97" s="277"/>
      <c r="Z97" s="278"/>
    </row>
    <row r="98" ht="15.75" customHeight="1">
      <c r="D98" s="158"/>
      <c r="G98" s="158"/>
      <c r="K98" s="276"/>
      <c r="N98" s="276"/>
      <c r="T98" s="277"/>
      <c r="Z98" s="278"/>
    </row>
    <row r="99" ht="15.75" customHeight="1">
      <c r="D99" s="158"/>
      <c r="G99" s="158"/>
      <c r="K99" s="276"/>
      <c r="N99" s="276"/>
      <c r="T99" s="277"/>
      <c r="Z99" s="278"/>
    </row>
    <row r="100" ht="15.75" customHeight="1">
      <c r="D100" s="158"/>
      <c r="G100" s="158"/>
      <c r="K100" s="276"/>
      <c r="N100" s="276"/>
      <c r="T100" s="277"/>
      <c r="Z100" s="278"/>
    </row>
    <row r="101" ht="15.75" customHeight="1">
      <c r="D101" s="158"/>
      <c r="G101" s="158"/>
      <c r="K101" s="276"/>
      <c r="N101" s="276"/>
      <c r="T101" s="277"/>
      <c r="Z101" s="278"/>
    </row>
    <row r="102" ht="15.75" customHeight="1">
      <c r="D102" s="158"/>
      <c r="G102" s="158"/>
      <c r="K102" s="276"/>
      <c r="N102" s="276"/>
      <c r="T102" s="277"/>
      <c r="Z102" s="278"/>
    </row>
    <row r="103" ht="15.75" customHeight="1">
      <c r="D103" s="158"/>
      <c r="G103" s="158"/>
      <c r="K103" s="276"/>
      <c r="N103" s="276"/>
      <c r="T103" s="277"/>
      <c r="Z103" s="278"/>
    </row>
    <row r="104" ht="15.75" customHeight="1">
      <c r="D104" s="158"/>
      <c r="G104" s="158"/>
      <c r="K104" s="276"/>
      <c r="N104" s="276"/>
      <c r="T104" s="277"/>
      <c r="Z104" s="278"/>
    </row>
    <row r="105" ht="15.75" customHeight="1">
      <c r="D105" s="158"/>
      <c r="G105" s="158"/>
      <c r="K105" s="276"/>
      <c r="N105" s="276"/>
      <c r="T105" s="277"/>
      <c r="Z105" s="278"/>
    </row>
    <row r="106" ht="15.75" customHeight="1">
      <c r="D106" s="158"/>
      <c r="G106" s="158"/>
      <c r="K106" s="276"/>
      <c r="N106" s="276"/>
      <c r="T106" s="277"/>
      <c r="Z106" s="278"/>
    </row>
    <row r="107" ht="15.75" customHeight="1">
      <c r="D107" s="158"/>
      <c r="G107" s="158"/>
      <c r="K107" s="276"/>
      <c r="N107" s="276"/>
      <c r="T107" s="277"/>
      <c r="Z107" s="278"/>
    </row>
    <row r="108" ht="15.75" customHeight="1">
      <c r="D108" s="158"/>
      <c r="G108" s="158"/>
      <c r="K108" s="276"/>
      <c r="N108" s="276"/>
      <c r="T108" s="277"/>
      <c r="Z108" s="278"/>
    </row>
    <row r="109" ht="15.75" customHeight="1">
      <c r="D109" s="158"/>
      <c r="G109" s="158"/>
      <c r="K109" s="276"/>
      <c r="N109" s="276"/>
      <c r="T109" s="277"/>
      <c r="Z109" s="278"/>
    </row>
    <row r="110" ht="15.75" customHeight="1">
      <c r="D110" s="158"/>
      <c r="G110" s="158"/>
      <c r="K110" s="276"/>
      <c r="N110" s="276"/>
      <c r="T110" s="277"/>
      <c r="Z110" s="278"/>
    </row>
    <row r="111" ht="15.75" customHeight="1">
      <c r="D111" s="158"/>
      <c r="G111" s="158"/>
      <c r="K111" s="276"/>
      <c r="N111" s="276"/>
      <c r="T111" s="277"/>
      <c r="Z111" s="278"/>
    </row>
    <row r="112" ht="15.75" customHeight="1">
      <c r="D112" s="158"/>
      <c r="G112" s="158"/>
      <c r="K112" s="276"/>
      <c r="N112" s="276"/>
      <c r="T112" s="277"/>
      <c r="Z112" s="278"/>
    </row>
    <row r="113" ht="15.75" customHeight="1">
      <c r="D113" s="158"/>
      <c r="G113" s="158"/>
      <c r="K113" s="276"/>
      <c r="N113" s="276"/>
      <c r="T113" s="277"/>
      <c r="Z113" s="278"/>
    </row>
    <row r="114" ht="15.75" customHeight="1">
      <c r="D114" s="158"/>
      <c r="G114" s="158"/>
      <c r="K114" s="276"/>
      <c r="N114" s="276"/>
      <c r="T114" s="277"/>
      <c r="Z114" s="278"/>
    </row>
    <row r="115" ht="15.75" customHeight="1">
      <c r="D115" s="158"/>
      <c r="G115" s="158"/>
      <c r="K115" s="276"/>
      <c r="N115" s="276"/>
      <c r="T115" s="277"/>
      <c r="Z115" s="278"/>
    </row>
    <row r="116" ht="15.75" customHeight="1">
      <c r="D116" s="158"/>
      <c r="G116" s="158"/>
      <c r="K116" s="276"/>
      <c r="N116" s="276"/>
      <c r="T116" s="277"/>
      <c r="Z116" s="278"/>
    </row>
    <row r="117" ht="15.75" customHeight="1">
      <c r="D117" s="158"/>
      <c r="G117" s="158"/>
      <c r="K117" s="276"/>
      <c r="N117" s="276"/>
      <c r="T117" s="277"/>
      <c r="Z117" s="278"/>
    </row>
    <row r="118" ht="15.75" customHeight="1">
      <c r="D118" s="158"/>
      <c r="G118" s="158"/>
      <c r="K118" s="276"/>
      <c r="N118" s="276"/>
      <c r="T118" s="277"/>
      <c r="Z118" s="278"/>
    </row>
    <row r="119" ht="15.75" customHeight="1">
      <c r="D119" s="158"/>
      <c r="G119" s="158"/>
      <c r="K119" s="276"/>
      <c r="N119" s="276"/>
      <c r="T119" s="277"/>
      <c r="Z119" s="278"/>
    </row>
    <row r="120" ht="15.75" customHeight="1">
      <c r="D120" s="158"/>
      <c r="G120" s="158"/>
      <c r="K120" s="276"/>
      <c r="N120" s="276"/>
      <c r="T120" s="277"/>
      <c r="Z120" s="278"/>
    </row>
    <row r="121" ht="15.75" customHeight="1">
      <c r="D121" s="158"/>
      <c r="G121" s="158"/>
      <c r="K121" s="276"/>
      <c r="N121" s="276"/>
      <c r="T121" s="277"/>
      <c r="Z121" s="278"/>
    </row>
    <row r="122" ht="15.75" customHeight="1">
      <c r="D122" s="158"/>
      <c r="G122" s="158"/>
      <c r="K122" s="276"/>
      <c r="N122" s="276"/>
      <c r="T122" s="277"/>
      <c r="Z122" s="278"/>
    </row>
    <row r="123" ht="15.75" customHeight="1">
      <c r="D123" s="158"/>
      <c r="G123" s="158"/>
      <c r="K123" s="276"/>
      <c r="N123" s="276"/>
      <c r="T123" s="277"/>
      <c r="Z123" s="278"/>
    </row>
    <row r="124" ht="15.75" customHeight="1">
      <c r="D124" s="158"/>
      <c r="G124" s="158"/>
      <c r="K124" s="276"/>
      <c r="N124" s="276"/>
      <c r="T124" s="277"/>
      <c r="Z124" s="278"/>
    </row>
    <row r="125" ht="15.75" customHeight="1">
      <c r="D125" s="158"/>
      <c r="G125" s="158"/>
      <c r="K125" s="276"/>
      <c r="N125" s="276"/>
      <c r="T125" s="277"/>
      <c r="Z125" s="278"/>
    </row>
    <row r="126" ht="15.75" customHeight="1">
      <c r="D126" s="158"/>
      <c r="G126" s="158"/>
      <c r="K126" s="276"/>
      <c r="N126" s="276"/>
      <c r="T126" s="277"/>
      <c r="Z126" s="278"/>
    </row>
    <row r="127" ht="15.75" customHeight="1">
      <c r="D127" s="158"/>
      <c r="G127" s="158"/>
      <c r="K127" s="276"/>
      <c r="N127" s="276"/>
      <c r="T127" s="277"/>
      <c r="Z127" s="278"/>
    </row>
    <row r="128" ht="15.75" customHeight="1">
      <c r="D128" s="158"/>
      <c r="G128" s="158"/>
      <c r="K128" s="276"/>
      <c r="N128" s="276"/>
      <c r="T128" s="277"/>
      <c r="Z128" s="278"/>
    </row>
    <row r="129" ht="15.75" customHeight="1">
      <c r="D129" s="158"/>
      <c r="G129" s="158"/>
      <c r="K129" s="276"/>
      <c r="N129" s="276"/>
      <c r="T129" s="277"/>
      <c r="Z129" s="278"/>
    </row>
    <row r="130" ht="15.75" customHeight="1">
      <c r="D130" s="158"/>
      <c r="G130" s="158"/>
      <c r="K130" s="276"/>
      <c r="N130" s="276"/>
      <c r="T130" s="277"/>
      <c r="Z130" s="278"/>
    </row>
    <row r="131" ht="15.75" customHeight="1">
      <c r="D131" s="158"/>
      <c r="G131" s="158"/>
      <c r="K131" s="276"/>
      <c r="N131" s="276"/>
      <c r="T131" s="277"/>
      <c r="Z131" s="278"/>
    </row>
    <row r="132" ht="15.75" customHeight="1">
      <c r="D132" s="158"/>
      <c r="G132" s="158"/>
      <c r="K132" s="276"/>
      <c r="N132" s="276"/>
      <c r="T132" s="277"/>
      <c r="Z132" s="278"/>
    </row>
    <row r="133" ht="15.75" customHeight="1">
      <c r="D133" s="158"/>
      <c r="G133" s="158"/>
      <c r="K133" s="276"/>
      <c r="N133" s="276"/>
      <c r="T133" s="277"/>
      <c r="Z133" s="278"/>
    </row>
    <row r="134" ht="15.75" customHeight="1">
      <c r="D134" s="158"/>
      <c r="G134" s="158"/>
      <c r="K134" s="276"/>
      <c r="N134" s="276"/>
      <c r="T134" s="277"/>
      <c r="Z134" s="278"/>
    </row>
    <row r="135" ht="15.75" customHeight="1">
      <c r="D135" s="158"/>
      <c r="G135" s="158"/>
      <c r="K135" s="276"/>
      <c r="N135" s="276"/>
      <c r="T135" s="277"/>
      <c r="Z135" s="278"/>
    </row>
    <row r="136" ht="15.75" customHeight="1">
      <c r="D136" s="158"/>
      <c r="G136" s="158"/>
      <c r="K136" s="276"/>
      <c r="N136" s="276"/>
      <c r="T136" s="277"/>
      <c r="Z136" s="278"/>
    </row>
    <row r="137" ht="15.75" customHeight="1">
      <c r="D137" s="158"/>
      <c r="G137" s="158"/>
      <c r="K137" s="276"/>
      <c r="N137" s="276"/>
      <c r="T137" s="277"/>
      <c r="Z137" s="278"/>
    </row>
    <row r="138" ht="15.75" customHeight="1">
      <c r="D138" s="158"/>
      <c r="G138" s="158"/>
      <c r="K138" s="276"/>
      <c r="N138" s="276"/>
      <c r="T138" s="277"/>
      <c r="Z138" s="278"/>
    </row>
    <row r="139" ht="15.75" customHeight="1">
      <c r="D139" s="158"/>
      <c r="G139" s="158"/>
      <c r="K139" s="276"/>
      <c r="N139" s="276"/>
      <c r="T139" s="277"/>
      <c r="Z139" s="278"/>
    </row>
    <row r="140" ht="15.75" customHeight="1">
      <c r="D140" s="158"/>
      <c r="G140" s="158"/>
      <c r="K140" s="276"/>
      <c r="N140" s="276"/>
      <c r="T140" s="277"/>
      <c r="Z140" s="278"/>
    </row>
    <row r="141" ht="15.75" customHeight="1">
      <c r="D141" s="158"/>
      <c r="G141" s="158"/>
      <c r="K141" s="276"/>
      <c r="N141" s="276"/>
      <c r="T141" s="277"/>
      <c r="Z141" s="278"/>
    </row>
    <row r="142" ht="15.75" customHeight="1">
      <c r="D142" s="158"/>
      <c r="G142" s="158"/>
      <c r="K142" s="276"/>
      <c r="N142" s="276"/>
      <c r="T142" s="277"/>
      <c r="Z142" s="278"/>
    </row>
    <row r="143" ht="15.75" customHeight="1">
      <c r="D143" s="158"/>
      <c r="G143" s="158"/>
      <c r="K143" s="276"/>
      <c r="N143" s="276"/>
      <c r="T143" s="277"/>
      <c r="Z143" s="278"/>
    </row>
    <row r="144" ht="15.75" customHeight="1">
      <c r="D144" s="158"/>
      <c r="G144" s="158"/>
      <c r="K144" s="276"/>
      <c r="N144" s="276"/>
      <c r="T144" s="277"/>
      <c r="Z144" s="278"/>
    </row>
    <row r="145" ht="15.75" customHeight="1">
      <c r="D145" s="158"/>
      <c r="G145" s="158"/>
      <c r="K145" s="276"/>
      <c r="N145" s="276"/>
      <c r="T145" s="277"/>
      <c r="Z145" s="278"/>
    </row>
    <row r="146" ht="15.75" customHeight="1">
      <c r="D146" s="158"/>
      <c r="G146" s="158"/>
      <c r="K146" s="276"/>
      <c r="N146" s="276"/>
      <c r="T146" s="277"/>
      <c r="Z146" s="278"/>
    </row>
    <row r="147" ht="15.75" customHeight="1">
      <c r="D147" s="158"/>
      <c r="G147" s="158"/>
      <c r="K147" s="276"/>
      <c r="N147" s="276"/>
      <c r="T147" s="277"/>
      <c r="Z147" s="278"/>
    </row>
    <row r="148" ht="15.75" customHeight="1">
      <c r="D148" s="158"/>
      <c r="G148" s="158"/>
      <c r="K148" s="276"/>
      <c r="N148" s="276"/>
      <c r="T148" s="277"/>
      <c r="Z148" s="278"/>
    </row>
    <row r="149" ht="15.75" customHeight="1">
      <c r="D149" s="158"/>
      <c r="G149" s="158"/>
      <c r="K149" s="276"/>
      <c r="N149" s="276"/>
      <c r="T149" s="277"/>
      <c r="Z149" s="278"/>
    </row>
    <row r="150" ht="15.75" customHeight="1">
      <c r="D150" s="158"/>
      <c r="G150" s="158"/>
      <c r="K150" s="276"/>
      <c r="N150" s="276"/>
      <c r="T150" s="277"/>
      <c r="Z150" s="278"/>
    </row>
    <row r="151" ht="15.75" customHeight="1">
      <c r="D151" s="158"/>
      <c r="G151" s="158"/>
      <c r="K151" s="276"/>
      <c r="N151" s="276"/>
      <c r="T151" s="277"/>
      <c r="Z151" s="278"/>
    </row>
    <row r="152" ht="15.75" customHeight="1">
      <c r="D152" s="158"/>
      <c r="G152" s="158"/>
      <c r="K152" s="276"/>
      <c r="N152" s="276"/>
      <c r="T152" s="277"/>
      <c r="Z152" s="278"/>
    </row>
    <row r="153" ht="15.75" customHeight="1">
      <c r="D153" s="158"/>
      <c r="G153" s="158"/>
      <c r="K153" s="276"/>
      <c r="N153" s="276"/>
      <c r="T153" s="277"/>
      <c r="Z153" s="278"/>
    </row>
    <row r="154" ht="15.75" customHeight="1">
      <c r="D154" s="158"/>
      <c r="G154" s="158"/>
      <c r="K154" s="276"/>
      <c r="N154" s="276"/>
      <c r="T154" s="277"/>
      <c r="Z154" s="278"/>
    </row>
    <row r="155" ht="15.75" customHeight="1">
      <c r="D155" s="158"/>
      <c r="G155" s="158"/>
      <c r="K155" s="276"/>
      <c r="N155" s="276"/>
      <c r="T155" s="277"/>
      <c r="Z155" s="278"/>
    </row>
    <row r="156" ht="15.75" customHeight="1">
      <c r="D156" s="158"/>
      <c r="G156" s="158"/>
      <c r="K156" s="276"/>
      <c r="N156" s="276"/>
      <c r="T156" s="277"/>
      <c r="Z156" s="278"/>
    </row>
    <row r="157" ht="15.75" customHeight="1">
      <c r="D157" s="158"/>
      <c r="G157" s="158"/>
      <c r="K157" s="276"/>
      <c r="N157" s="276"/>
      <c r="T157" s="277"/>
      <c r="Z157" s="278"/>
    </row>
    <row r="158" ht="15.75" customHeight="1">
      <c r="D158" s="158"/>
      <c r="G158" s="158"/>
      <c r="K158" s="276"/>
      <c r="N158" s="276"/>
      <c r="T158" s="277"/>
      <c r="Z158" s="278"/>
    </row>
    <row r="159" ht="15.75" customHeight="1">
      <c r="D159" s="158"/>
      <c r="G159" s="158"/>
      <c r="K159" s="276"/>
      <c r="N159" s="276"/>
      <c r="T159" s="277"/>
      <c r="Z159" s="278"/>
    </row>
    <row r="160" ht="15.75" customHeight="1">
      <c r="D160" s="158"/>
      <c r="G160" s="158"/>
      <c r="K160" s="276"/>
      <c r="N160" s="276"/>
      <c r="T160" s="277"/>
      <c r="Z160" s="278"/>
    </row>
    <row r="161" ht="15.75" customHeight="1">
      <c r="D161" s="158"/>
      <c r="G161" s="158"/>
      <c r="K161" s="276"/>
      <c r="N161" s="276"/>
      <c r="T161" s="277"/>
      <c r="Z161" s="278"/>
    </row>
    <row r="162" ht="15.75" customHeight="1">
      <c r="D162" s="158"/>
      <c r="G162" s="158"/>
      <c r="K162" s="276"/>
      <c r="N162" s="276"/>
      <c r="T162" s="277"/>
      <c r="Z162" s="278"/>
    </row>
    <row r="163" ht="15.75" customHeight="1">
      <c r="D163" s="158"/>
      <c r="G163" s="158"/>
      <c r="K163" s="276"/>
      <c r="N163" s="276"/>
      <c r="T163" s="277"/>
      <c r="Z163" s="278"/>
    </row>
    <row r="164" ht="15.75" customHeight="1">
      <c r="D164" s="158"/>
      <c r="G164" s="158"/>
      <c r="K164" s="276"/>
      <c r="N164" s="276"/>
      <c r="T164" s="277"/>
      <c r="Z164" s="278"/>
    </row>
    <row r="165" ht="15.75" customHeight="1">
      <c r="D165" s="158"/>
      <c r="G165" s="158"/>
      <c r="K165" s="276"/>
      <c r="N165" s="276"/>
      <c r="T165" s="277"/>
      <c r="Z165" s="278"/>
    </row>
    <row r="166" ht="15.75" customHeight="1">
      <c r="D166" s="158"/>
      <c r="G166" s="158"/>
      <c r="K166" s="276"/>
      <c r="N166" s="276"/>
      <c r="T166" s="277"/>
      <c r="Z166" s="278"/>
    </row>
    <row r="167" ht="15.75" customHeight="1">
      <c r="D167" s="158"/>
      <c r="G167" s="158"/>
      <c r="K167" s="276"/>
      <c r="N167" s="276"/>
      <c r="T167" s="277"/>
      <c r="Z167" s="278"/>
    </row>
    <row r="168" ht="15.75" customHeight="1">
      <c r="D168" s="158"/>
      <c r="G168" s="158"/>
      <c r="K168" s="276"/>
      <c r="N168" s="276"/>
      <c r="T168" s="277"/>
      <c r="Z168" s="278"/>
    </row>
    <row r="169" ht="15.75" customHeight="1">
      <c r="D169" s="158"/>
      <c r="G169" s="158"/>
      <c r="K169" s="276"/>
      <c r="N169" s="276"/>
      <c r="T169" s="277"/>
      <c r="Z169" s="278"/>
    </row>
    <row r="170" ht="15.75" customHeight="1">
      <c r="D170" s="158"/>
      <c r="G170" s="158"/>
      <c r="K170" s="276"/>
      <c r="N170" s="276"/>
      <c r="T170" s="277"/>
      <c r="Z170" s="278"/>
    </row>
    <row r="171" ht="15.75" customHeight="1">
      <c r="D171" s="158"/>
      <c r="G171" s="158"/>
      <c r="K171" s="276"/>
      <c r="N171" s="276"/>
      <c r="T171" s="277"/>
      <c r="Z171" s="278"/>
    </row>
    <row r="172" ht="15.75" customHeight="1">
      <c r="D172" s="158"/>
      <c r="G172" s="158"/>
      <c r="K172" s="276"/>
      <c r="N172" s="276"/>
      <c r="T172" s="277"/>
      <c r="Z172" s="278"/>
    </row>
    <row r="173" ht="15.75" customHeight="1">
      <c r="D173" s="158"/>
      <c r="G173" s="158"/>
      <c r="K173" s="276"/>
      <c r="N173" s="276"/>
      <c r="T173" s="277"/>
      <c r="Z173" s="278"/>
    </row>
    <row r="174" ht="15.75" customHeight="1">
      <c r="D174" s="158"/>
      <c r="G174" s="158"/>
      <c r="K174" s="276"/>
      <c r="N174" s="276"/>
      <c r="T174" s="277"/>
      <c r="Z174" s="278"/>
    </row>
    <row r="175" ht="15.75" customHeight="1">
      <c r="D175" s="158"/>
      <c r="G175" s="158"/>
      <c r="K175" s="276"/>
      <c r="N175" s="276"/>
      <c r="T175" s="277"/>
      <c r="Z175" s="278"/>
    </row>
    <row r="176" ht="15.75" customHeight="1">
      <c r="D176" s="158"/>
      <c r="G176" s="158"/>
      <c r="K176" s="276"/>
      <c r="N176" s="276"/>
      <c r="T176" s="277"/>
      <c r="Z176" s="278"/>
    </row>
    <row r="177" ht="15.75" customHeight="1">
      <c r="D177" s="158"/>
      <c r="G177" s="158"/>
      <c r="K177" s="276"/>
      <c r="N177" s="276"/>
      <c r="T177" s="277"/>
      <c r="Z177" s="278"/>
    </row>
    <row r="178" ht="15.75" customHeight="1">
      <c r="D178" s="158"/>
      <c r="G178" s="158"/>
      <c r="K178" s="276"/>
      <c r="N178" s="276"/>
      <c r="T178" s="277"/>
      <c r="Z178" s="278"/>
    </row>
    <row r="179" ht="15.75" customHeight="1">
      <c r="D179" s="158"/>
      <c r="G179" s="158"/>
      <c r="K179" s="276"/>
      <c r="N179" s="276"/>
      <c r="T179" s="277"/>
      <c r="Z179" s="278"/>
    </row>
    <row r="180" ht="15.75" customHeight="1">
      <c r="D180" s="158"/>
      <c r="G180" s="158"/>
      <c r="K180" s="276"/>
      <c r="N180" s="276"/>
      <c r="T180" s="277"/>
      <c r="Z180" s="278"/>
    </row>
    <row r="181" ht="15.75" customHeight="1">
      <c r="D181" s="158"/>
      <c r="G181" s="158"/>
      <c r="K181" s="276"/>
      <c r="N181" s="276"/>
      <c r="T181" s="277"/>
      <c r="Z181" s="278"/>
    </row>
    <row r="182" ht="15.75" customHeight="1">
      <c r="D182" s="158"/>
      <c r="G182" s="158"/>
      <c r="K182" s="276"/>
      <c r="N182" s="276"/>
      <c r="T182" s="277"/>
      <c r="Z182" s="278"/>
    </row>
    <row r="183" ht="15.75" customHeight="1">
      <c r="D183" s="158"/>
      <c r="G183" s="158"/>
      <c r="K183" s="276"/>
      <c r="N183" s="276"/>
      <c r="T183" s="277"/>
      <c r="Z183" s="278"/>
    </row>
    <row r="184" ht="15.75" customHeight="1">
      <c r="D184" s="158"/>
      <c r="G184" s="158"/>
      <c r="K184" s="276"/>
      <c r="N184" s="276"/>
      <c r="T184" s="277"/>
      <c r="Z184" s="278"/>
    </row>
    <row r="185" ht="15.75" customHeight="1">
      <c r="D185" s="158"/>
      <c r="G185" s="158"/>
      <c r="K185" s="276"/>
      <c r="N185" s="276"/>
      <c r="T185" s="277"/>
      <c r="Z185" s="278"/>
    </row>
    <row r="186" ht="15.75" customHeight="1">
      <c r="D186" s="158"/>
      <c r="G186" s="158"/>
      <c r="K186" s="276"/>
      <c r="N186" s="276"/>
      <c r="T186" s="277"/>
      <c r="Z186" s="278"/>
    </row>
    <row r="187" ht="15.75" customHeight="1">
      <c r="D187" s="158"/>
      <c r="G187" s="158"/>
      <c r="K187" s="276"/>
      <c r="N187" s="276"/>
      <c r="T187" s="277"/>
      <c r="Z187" s="278"/>
    </row>
    <row r="188" ht="15.75" customHeight="1">
      <c r="D188" s="158"/>
      <c r="G188" s="158"/>
      <c r="K188" s="276"/>
      <c r="N188" s="276"/>
      <c r="T188" s="277"/>
      <c r="Z188" s="278"/>
    </row>
    <row r="189" ht="15.75" customHeight="1">
      <c r="D189" s="158"/>
      <c r="G189" s="158"/>
      <c r="K189" s="276"/>
      <c r="N189" s="276"/>
      <c r="T189" s="277"/>
      <c r="Z189" s="278"/>
    </row>
    <row r="190" ht="15.75" customHeight="1">
      <c r="D190" s="158"/>
      <c r="G190" s="158"/>
      <c r="K190" s="276"/>
      <c r="N190" s="276"/>
      <c r="T190" s="277"/>
      <c r="Z190" s="278"/>
    </row>
    <row r="191" ht="15.75" customHeight="1">
      <c r="D191" s="158"/>
      <c r="G191" s="158"/>
      <c r="K191" s="276"/>
      <c r="N191" s="276"/>
      <c r="T191" s="277"/>
      <c r="Z191" s="278"/>
    </row>
    <row r="192" ht="15.75" customHeight="1">
      <c r="D192" s="158"/>
      <c r="G192" s="158"/>
      <c r="K192" s="276"/>
      <c r="N192" s="276"/>
      <c r="T192" s="277"/>
      <c r="Z192" s="278"/>
    </row>
    <row r="193" ht="15.75" customHeight="1">
      <c r="D193" s="158"/>
      <c r="G193" s="158"/>
      <c r="K193" s="276"/>
      <c r="N193" s="276"/>
      <c r="T193" s="277"/>
      <c r="Z193" s="278"/>
    </row>
    <row r="194" ht="15.75" customHeight="1">
      <c r="D194" s="158"/>
      <c r="G194" s="158"/>
      <c r="K194" s="276"/>
      <c r="N194" s="276"/>
      <c r="T194" s="277"/>
      <c r="Z194" s="278"/>
    </row>
    <row r="195" ht="15.75" customHeight="1">
      <c r="D195" s="158"/>
      <c r="G195" s="158"/>
      <c r="K195" s="276"/>
      <c r="N195" s="276"/>
      <c r="T195" s="277"/>
      <c r="Z195" s="278"/>
    </row>
    <row r="196" ht="15.75" customHeight="1">
      <c r="D196" s="158"/>
      <c r="G196" s="158"/>
      <c r="K196" s="276"/>
      <c r="N196" s="276"/>
      <c r="T196" s="277"/>
      <c r="Z196" s="278"/>
    </row>
    <row r="197" ht="15.75" customHeight="1">
      <c r="D197" s="158"/>
      <c r="G197" s="158"/>
      <c r="K197" s="276"/>
      <c r="N197" s="276"/>
      <c r="T197" s="277"/>
      <c r="Z197" s="278"/>
    </row>
    <row r="198" ht="15.75" customHeight="1">
      <c r="D198" s="158"/>
      <c r="G198" s="158"/>
      <c r="K198" s="276"/>
      <c r="N198" s="276"/>
      <c r="T198" s="277"/>
      <c r="Z198" s="278"/>
    </row>
    <row r="199" ht="15.75" customHeight="1">
      <c r="D199" s="158"/>
      <c r="G199" s="158"/>
      <c r="K199" s="276"/>
      <c r="N199" s="276"/>
      <c r="T199" s="277"/>
      <c r="Z199" s="278"/>
    </row>
    <row r="200" ht="15.75" customHeight="1">
      <c r="D200" s="158"/>
      <c r="G200" s="158"/>
      <c r="K200" s="276"/>
      <c r="N200" s="276"/>
      <c r="T200" s="277"/>
      <c r="Z200" s="278"/>
    </row>
    <row r="201" ht="15.75" customHeight="1">
      <c r="D201" s="158"/>
      <c r="G201" s="158"/>
      <c r="K201" s="276"/>
      <c r="N201" s="276"/>
      <c r="T201" s="277"/>
      <c r="Z201" s="278"/>
    </row>
    <row r="202" ht="15.75" customHeight="1">
      <c r="D202" s="158"/>
      <c r="G202" s="158"/>
      <c r="K202" s="276"/>
      <c r="N202" s="276"/>
      <c r="T202" s="277"/>
      <c r="Z202" s="278"/>
    </row>
    <row r="203" ht="15.75" customHeight="1">
      <c r="D203" s="158"/>
      <c r="G203" s="158"/>
      <c r="K203" s="276"/>
      <c r="N203" s="276"/>
      <c r="T203" s="277"/>
      <c r="Z203" s="278"/>
    </row>
    <row r="204" ht="15.75" customHeight="1">
      <c r="D204" s="158"/>
      <c r="G204" s="158"/>
      <c r="K204" s="276"/>
      <c r="N204" s="276"/>
      <c r="T204" s="277"/>
      <c r="Z204" s="278"/>
    </row>
    <row r="205" ht="15.75" customHeight="1">
      <c r="D205" s="158"/>
      <c r="G205" s="158"/>
      <c r="K205" s="276"/>
      <c r="N205" s="276"/>
      <c r="T205" s="277"/>
      <c r="Z205" s="278"/>
    </row>
    <row r="206" ht="15.75" customHeight="1">
      <c r="D206" s="158"/>
      <c r="G206" s="158"/>
      <c r="K206" s="276"/>
      <c r="N206" s="276"/>
      <c r="T206" s="277"/>
      <c r="Z206" s="278"/>
    </row>
    <row r="207" ht="15.75" customHeight="1">
      <c r="D207" s="158"/>
      <c r="G207" s="158"/>
      <c r="K207" s="276"/>
      <c r="N207" s="276"/>
      <c r="T207" s="277"/>
      <c r="Z207" s="278"/>
    </row>
    <row r="208" ht="15.75" customHeight="1">
      <c r="D208" s="158"/>
      <c r="G208" s="158"/>
      <c r="K208" s="276"/>
      <c r="N208" s="276"/>
      <c r="T208" s="277"/>
      <c r="Z208" s="278"/>
    </row>
    <row r="209" ht="15.75" customHeight="1">
      <c r="D209" s="158"/>
      <c r="G209" s="158"/>
      <c r="K209" s="276"/>
      <c r="N209" s="276"/>
      <c r="T209" s="277"/>
      <c r="Z209" s="278"/>
    </row>
    <row r="210" ht="15.75" customHeight="1">
      <c r="D210" s="158"/>
      <c r="G210" s="158"/>
      <c r="K210" s="276"/>
      <c r="N210" s="276"/>
      <c r="T210" s="277"/>
      <c r="Z210" s="278"/>
    </row>
    <row r="211" ht="15.75" customHeight="1">
      <c r="D211" s="158"/>
      <c r="G211" s="158"/>
      <c r="K211" s="276"/>
      <c r="N211" s="276"/>
      <c r="T211" s="277"/>
      <c r="Z211" s="278"/>
    </row>
    <row r="212" ht="15.75" customHeight="1">
      <c r="D212" s="158"/>
      <c r="G212" s="158"/>
      <c r="K212" s="276"/>
      <c r="N212" s="276"/>
      <c r="T212" s="277"/>
      <c r="Z212" s="278"/>
    </row>
    <row r="213" ht="15.75" customHeight="1">
      <c r="D213" s="158"/>
      <c r="G213" s="158"/>
      <c r="K213" s="276"/>
      <c r="N213" s="276"/>
      <c r="T213" s="277"/>
      <c r="Z213" s="278"/>
    </row>
    <row r="214" ht="15.75" customHeight="1">
      <c r="D214" s="158"/>
      <c r="G214" s="158"/>
      <c r="K214" s="276"/>
      <c r="N214" s="276"/>
      <c r="T214" s="277"/>
      <c r="Z214" s="278"/>
    </row>
    <row r="215" ht="15.75" customHeight="1">
      <c r="D215" s="158"/>
      <c r="G215" s="158"/>
      <c r="K215" s="276"/>
      <c r="N215" s="276"/>
      <c r="T215" s="277"/>
      <c r="Z215" s="278"/>
    </row>
    <row r="216" ht="15.75" customHeight="1">
      <c r="D216" s="158"/>
      <c r="G216" s="158"/>
      <c r="K216" s="276"/>
      <c r="N216" s="276"/>
      <c r="T216" s="277"/>
      <c r="Z216" s="278"/>
    </row>
    <row r="217" ht="15.75" customHeight="1">
      <c r="D217" s="158"/>
      <c r="G217" s="158"/>
      <c r="K217" s="276"/>
      <c r="N217" s="276"/>
      <c r="T217" s="277"/>
      <c r="Z217" s="278"/>
    </row>
    <row r="218" ht="15.75" customHeight="1">
      <c r="D218" s="158"/>
      <c r="G218" s="158"/>
      <c r="K218" s="276"/>
      <c r="N218" s="276"/>
      <c r="T218" s="277"/>
      <c r="Z218" s="278"/>
    </row>
    <row r="219" ht="15.75" customHeight="1">
      <c r="D219" s="158"/>
      <c r="G219" s="158"/>
      <c r="K219" s="276"/>
      <c r="N219" s="276"/>
      <c r="T219" s="277"/>
      <c r="Z219" s="278"/>
    </row>
    <row r="220" ht="15.75" customHeight="1">
      <c r="D220" s="158"/>
      <c r="G220" s="158"/>
      <c r="K220" s="276"/>
      <c r="N220" s="276"/>
      <c r="T220" s="277"/>
      <c r="Z220" s="278"/>
    </row>
    <row r="221" ht="15.75" customHeight="1">
      <c r="D221" s="158"/>
      <c r="G221" s="158"/>
      <c r="K221" s="276"/>
      <c r="N221" s="276"/>
      <c r="T221" s="277"/>
      <c r="Z221" s="278"/>
    </row>
    <row r="222" ht="15.75" customHeight="1">
      <c r="D222" s="158"/>
      <c r="G222" s="158"/>
      <c r="K222" s="276"/>
      <c r="N222" s="276"/>
      <c r="T222" s="277"/>
      <c r="Z222" s="278"/>
    </row>
    <row r="223" ht="15.75" customHeight="1">
      <c r="D223" s="158"/>
      <c r="G223" s="158"/>
      <c r="K223" s="276"/>
      <c r="N223" s="276"/>
      <c r="T223" s="277"/>
      <c r="Z223" s="278"/>
    </row>
    <row r="224" ht="15.75" customHeight="1">
      <c r="D224" s="158"/>
      <c r="G224" s="158"/>
      <c r="K224" s="276"/>
      <c r="N224" s="276"/>
      <c r="T224" s="277"/>
      <c r="Z224" s="278"/>
    </row>
    <row r="225" ht="15.75" customHeight="1">
      <c r="D225" s="158"/>
      <c r="G225" s="158"/>
      <c r="K225" s="276"/>
      <c r="N225" s="276"/>
      <c r="T225" s="277"/>
      <c r="Z225" s="278"/>
    </row>
    <row r="226" ht="15.75" customHeight="1">
      <c r="D226" s="158"/>
      <c r="G226" s="158"/>
      <c r="K226" s="276"/>
      <c r="N226" s="276"/>
      <c r="T226" s="277"/>
      <c r="Z226" s="278"/>
    </row>
    <row r="227" ht="15.75" customHeight="1">
      <c r="D227" s="158"/>
      <c r="G227" s="158"/>
      <c r="K227" s="276"/>
      <c r="N227" s="276"/>
      <c r="T227" s="277"/>
      <c r="Z227" s="278"/>
    </row>
    <row r="228" ht="15.75" customHeight="1">
      <c r="D228" s="158"/>
      <c r="G228" s="158"/>
      <c r="K228" s="276"/>
      <c r="N228" s="276"/>
      <c r="T228" s="277"/>
      <c r="Z228" s="278"/>
    </row>
    <row r="229" ht="15.75" customHeight="1">
      <c r="D229" s="158"/>
      <c r="G229" s="158"/>
      <c r="K229" s="276"/>
      <c r="N229" s="276"/>
      <c r="T229" s="277"/>
      <c r="Z229" s="278"/>
    </row>
    <row r="230" ht="15.75" customHeight="1">
      <c r="D230" s="158"/>
      <c r="G230" s="158"/>
      <c r="K230" s="276"/>
      <c r="N230" s="276"/>
      <c r="T230" s="277"/>
      <c r="Z230" s="278"/>
    </row>
    <row r="231" ht="15.75" customHeight="1">
      <c r="D231" s="158"/>
      <c r="G231" s="158"/>
      <c r="K231" s="276"/>
      <c r="N231" s="276"/>
      <c r="T231" s="277"/>
      <c r="Z231" s="278"/>
    </row>
    <row r="232" ht="15.75" customHeight="1">
      <c r="D232" s="158"/>
      <c r="G232" s="158"/>
      <c r="K232" s="276"/>
      <c r="N232" s="276"/>
      <c r="T232" s="277"/>
      <c r="Z232" s="278"/>
    </row>
    <row r="233" ht="15.75" customHeight="1">
      <c r="D233" s="158"/>
      <c r="G233" s="158"/>
      <c r="K233" s="276"/>
      <c r="N233" s="276"/>
      <c r="T233" s="277"/>
      <c r="Z233" s="278"/>
    </row>
    <row r="234" ht="15.75" customHeight="1">
      <c r="D234" s="158"/>
      <c r="G234" s="158"/>
      <c r="K234" s="276"/>
      <c r="N234" s="276"/>
      <c r="T234" s="277"/>
      <c r="Z234" s="278"/>
    </row>
    <row r="235" ht="15.75" customHeight="1">
      <c r="D235" s="158"/>
      <c r="G235" s="158"/>
      <c r="K235" s="276"/>
      <c r="N235" s="276"/>
      <c r="T235" s="277"/>
      <c r="Z235" s="278"/>
    </row>
    <row r="236" ht="15.75" customHeight="1">
      <c r="D236" s="158"/>
      <c r="G236" s="158"/>
      <c r="K236" s="276"/>
      <c r="N236" s="276"/>
      <c r="T236" s="277"/>
      <c r="Z236" s="278"/>
    </row>
    <row r="237" ht="15.75" customHeight="1">
      <c r="D237" s="158"/>
      <c r="G237" s="158"/>
      <c r="K237" s="276"/>
      <c r="N237" s="276"/>
      <c r="T237" s="277"/>
      <c r="Z237" s="278"/>
    </row>
    <row r="238" ht="15.75" customHeight="1">
      <c r="D238" s="158"/>
      <c r="G238" s="158"/>
      <c r="K238" s="276"/>
      <c r="N238" s="276"/>
      <c r="T238" s="277"/>
      <c r="Z238" s="278"/>
    </row>
    <row r="239" ht="15.75" customHeight="1">
      <c r="D239" s="158"/>
      <c r="G239" s="158"/>
      <c r="K239" s="276"/>
      <c r="N239" s="276"/>
      <c r="T239" s="277"/>
      <c r="Z239" s="278"/>
    </row>
    <row r="240" ht="15.75" customHeight="1">
      <c r="D240" s="158"/>
      <c r="G240" s="158"/>
      <c r="K240" s="276"/>
      <c r="N240" s="276"/>
      <c r="T240" s="277"/>
      <c r="Z240" s="278"/>
    </row>
    <row r="241" ht="15.75" customHeight="1">
      <c r="D241" s="158"/>
      <c r="G241" s="158"/>
      <c r="K241" s="276"/>
      <c r="N241" s="276"/>
      <c r="T241" s="277"/>
      <c r="Z241" s="278"/>
    </row>
    <row r="242" ht="15.75" customHeight="1">
      <c r="D242" s="158"/>
      <c r="G242" s="158"/>
      <c r="K242" s="276"/>
      <c r="N242" s="276"/>
      <c r="T242" s="277"/>
      <c r="Z242" s="278"/>
    </row>
    <row r="243" ht="15.75" customHeight="1">
      <c r="D243" s="158"/>
      <c r="G243" s="158"/>
      <c r="K243" s="276"/>
      <c r="N243" s="276"/>
      <c r="T243" s="277"/>
      <c r="Z243" s="278"/>
    </row>
    <row r="244" ht="15.75" customHeight="1">
      <c r="D244" s="158"/>
      <c r="G244" s="158"/>
      <c r="K244" s="276"/>
      <c r="N244" s="276"/>
      <c r="T244" s="277"/>
      <c r="Z244" s="278"/>
    </row>
    <row r="245" ht="15.75" customHeight="1">
      <c r="D245" s="158"/>
      <c r="G245" s="158"/>
      <c r="K245" s="276"/>
      <c r="N245" s="276"/>
      <c r="T245" s="277"/>
      <c r="Z245" s="278"/>
    </row>
    <row r="246" ht="15.75" customHeight="1">
      <c r="D246" s="158"/>
      <c r="G246" s="158"/>
      <c r="K246" s="276"/>
      <c r="N246" s="276"/>
      <c r="T246" s="277"/>
      <c r="Z246" s="278"/>
    </row>
    <row r="247" ht="15.75" customHeight="1">
      <c r="D247" s="158"/>
      <c r="G247" s="158"/>
      <c r="K247" s="276"/>
      <c r="N247" s="276"/>
      <c r="T247" s="277"/>
      <c r="Z247" s="278"/>
    </row>
    <row r="248" ht="15.75" customHeight="1">
      <c r="D248" s="158"/>
      <c r="G248" s="158"/>
      <c r="K248" s="276"/>
      <c r="N248" s="276"/>
      <c r="T248" s="277"/>
      <c r="Z248" s="278"/>
    </row>
    <row r="249" ht="15.75" customHeight="1">
      <c r="D249" s="158"/>
      <c r="G249" s="158"/>
      <c r="K249" s="276"/>
      <c r="N249" s="276"/>
      <c r="T249" s="277"/>
      <c r="Z249" s="278"/>
    </row>
    <row r="250" ht="15.75" customHeight="1">
      <c r="D250" s="158"/>
      <c r="G250" s="158"/>
      <c r="K250" s="276"/>
      <c r="N250" s="276"/>
      <c r="T250" s="277"/>
      <c r="Z250" s="278"/>
    </row>
    <row r="251" ht="15.75" customHeight="1">
      <c r="D251" s="158"/>
      <c r="G251" s="158"/>
      <c r="K251" s="276"/>
      <c r="N251" s="276"/>
      <c r="T251" s="277"/>
      <c r="Z251" s="278"/>
    </row>
    <row r="252" ht="15.75" customHeight="1">
      <c r="D252" s="158"/>
      <c r="G252" s="158"/>
      <c r="K252" s="276"/>
      <c r="N252" s="276"/>
      <c r="T252" s="277"/>
      <c r="Z252" s="278"/>
    </row>
    <row r="253" ht="15.75" customHeight="1">
      <c r="D253" s="158"/>
      <c r="G253" s="158"/>
      <c r="K253" s="276"/>
      <c r="N253" s="276"/>
      <c r="T253" s="277"/>
      <c r="Z253" s="278"/>
    </row>
    <row r="254" ht="15.75" customHeight="1">
      <c r="D254" s="158"/>
      <c r="G254" s="158"/>
      <c r="K254" s="276"/>
      <c r="N254" s="276"/>
      <c r="T254" s="277"/>
      <c r="Z254" s="278"/>
    </row>
    <row r="255" ht="15.75" customHeight="1">
      <c r="D255" s="158"/>
      <c r="G255" s="158"/>
      <c r="K255" s="276"/>
      <c r="N255" s="276"/>
      <c r="T255" s="277"/>
      <c r="Z255" s="278"/>
    </row>
    <row r="256" ht="15.75" customHeight="1">
      <c r="D256" s="158"/>
      <c r="G256" s="158"/>
      <c r="K256" s="276"/>
      <c r="N256" s="276"/>
      <c r="T256" s="277"/>
      <c r="Z256" s="278"/>
    </row>
    <row r="257" ht="15.75" customHeight="1">
      <c r="D257" s="158"/>
      <c r="G257" s="158"/>
      <c r="K257" s="276"/>
      <c r="N257" s="276"/>
      <c r="T257" s="277"/>
      <c r="Z257" s="278"/>
    </row>
    <row r="258" ht="15.75" customHeight="1">
      <c r="D258" s="158"/>
      <c r="G258" s="158"/>
      <c r="K258" s="276"/>
      <c r="N258" s="276"/>
      <c r="T258" s="277"/>
      <c r="Z258" s="278"/>
    </row>
    <row r="259" ht="15.75" customHeight="1">
      <c r="D259" s="158"/>
      <c r="G259" s="158"/>
      <c r="K259" s="276"/>
      <c r="N259" s="276"/>
      <c r="T259" s="277"/>
      <c r="Z259" s="278"/>
    </row>
    <row r="260" ht="15.75" customHeight="1">
      <c r="D260" s="158"/>
      <c r="G260" s="158"/>
      <c r="K260" s="276"/>
      <c r="N260" s="276"/>
      <c r="T260" s="277"/>
      <c r="Z260" s="278"/>
    </row>
    <row r="261" ht="15.75" customHeight="1">
      <c r="D261" s="158"/>
      <c r="G261" s="158"/>
      <c r="K261" s="276"/>
      <c r="N261" s="276"/>
      <c r="T261" s="277"/>
      <c r="Z261" s="278"/>
    </row>
    <row r="262" ht="15.75" customHeight="1">
      <c r="D262" s="158"/>
      <c r="G262" s="158"/>
      <c r="K262" s="276"/>
      <c r="N262" s="276"/>
      <c r="T262" s="277"/>
      <c r="Z262" s="278"/>
    </row>
    <row r="263" ht="15.75" customHeight="1">
      <c r="D263" s="158"/>
      <c r="G263" s="158"/>
      <c r="K263" s="276"/>
      <c r="N263" s="276"/>
      <c r="T263" s="277"/>
      <c r="Z263" s="278"/>
    </row>
    <row r="264" ht="15.75" customHeight="1">
      <c r="D264" s="158"/>
      <c r="G264" s="158"/>
      <c r="K264" s="276"/>
      <c r="N264" s="276"/>
      <c r="T264" s="277"/>
      <c r="Z264" s="278"/>
    </row>
    <row r="265" ht="15.75" customHeight="1">
      <c r="D265" s="158"/>
      <c r="G265" s="158"/>
      <c r="K265" s="276"/>
      <c r="N265" s="276"/>
      <c r="T265" s="277"/>
      <c r="Z265" s="278"/>
    </row>
    <row r="266" ht="15.75" customHeight="1">
      <c r="D266" s="158"/>
      <c r="G266" s="158"/>
      <c r="K266" s="276"/>
      <c r="N266" s="276"/>
      <c r="T266" s="277"/>
      <c r="Z266" s="278"/>
    </row>
    <row r="267" ht="15.75" customHeight="1">
      <c r="D267" s="158"/>
      <c r="G267" s="158"/>
      <c r="K267" s="276"/>
      <c r="N267" s="276"/>
      <c r="T267" s="277"/>
      <c r="Z267" s="278"/>
    </row>
    <row r="268" ht="15.75" customHeight="1">
      <c r="D268" s="158"/>
      <c r="G268" s="158"/>
      <c r="K268" s="276"/>
      <c r="N268" s="276"/>
      <c r="T268" s="277"/>
      <c r="Z268" s="278"/>
    </row>
    <row r="269" ht="15.75" customHeight="1">
      <c r="D269" s="158"/>
      <c r="G269" s="158"/>
      <c r="K269" s="276"/>
      <c r="N269" s="276"/>
      <c r="T269" s="277"/>
      <c r="Z269" s="278"/>
    </row>
    <row r="270" ht="15.75" customHeight="1">
      <c r="D270" s="158"/>
      <c r="G270" s="158"/>
      <c r="K270" s="276"/>
      <c r="N270" s="276"/>
      <c r="T270" s="277"/>
      <c r="Z270" s="278"/>
    </row>
    <row r="271" ht="15.75" customHeight="1">
      <c r="D271" s="158"/>
      <c r="G271" s="158"/>
      <c r="K271" s="276"/>
      <c r="N271" s="276"/>
      <c r="T271" s="277"/>
      <c r="Z271" s="278"/>
    </row>
    <row r="272" ht="15.75" customHeight="1">
      <c r="D272" s="158"/>
      <c r="G272" s="158"/>
      <c r="K272" s="276"/>
      <c r="N272" s="276"/>
      <c r="T272" s="277"/>
      <c r="Z272" s="278"/>
    </row>
    <row r="273" ht="15.75" customHeight="1">
      <c r="D273" s="158"/>
      <c r="G273" s="158"/>
      <c r="K273" s="276"/>
      <c r="N273" s="276"/>
      <c r="T273" s="277"/>
      <c r="Z273" s="278"/>
    </row>
    <row r="274" ht="15.75" customHeight="1">
      <c r="D274" s="158"/>
      <c r="G274" s="158"/>
      <c r="K274" s="276"/>
      <c r="N274" s="276"/>
      <c r="T274" s="277"/>
      <c r="Z274" s="278"/>
    </row>
    <row r="275" ht="15.75" customHeight="1">
      <c r="D275" s="158"/>
      <c r="G275" s="158"/>
      <c r="K275" s="276"/>
      <c r="N275" s="276"/>
      <c r="T275" s="277"/>
      <c r="Z275" s="278"/>
    </row>
    <row r="276" ht="15.75" customHeight="1">
      <c r="D276" s="158"/>
      <c r="G276" s="158"/>
      <c r="K276" s="276"/>
      <c r="N276" s="276"/>
      <c r="T276" s="277"/>
      <c r="Z276" s="278"/>
    </row>
    <row r="277" ht="15.75" customHeight="1">
      <c r="D277" s="158"/>
      <c r="G277" s="158"/>
      <c r="K277" s="276"/>
      <c r="N277" s="276"/>
      <c r="T277" s="277"/>
      <c r="Z277" s="278"/>
    </row>
    <row r="278" ht="15.75" customHeight="1">
      <c r="D278" s="158"/>
      <c r="G278" s="158"/>
      <c r="K278" s="276"/>
      <c r="N278" s="276"/>
      <c r="T278" s="277"/>
      <c r="Z278" s="278"/>
    </row>
    <row r="279" ht="15.75" customHeight="1">
      <c r="D279" s="158"/>
      <c r="G279" s="158"/>
      <c r="K279" s="276"/>
      <c r="N279" s="276"/>
      <c r="T279" s="277"/>
      <c r="Z279" s="278"/>
    </row>
    <row r="280" ht="15.75" customHeight="1">
      <c r="D280" s="158"/>
      <c r="G280" s="158"/>
      <c r="K280" s="276"/>
      <c r="N280" s="276"/>
      <c r="T280" s="277"/>
      <c r="Z280" s="278"/>
    </row>
    <row r="281" ht="15.75" customHeight="1">
      <c r="D281" s="158"/>
      <c r="G281" s="158"/>
      <c r="K281" s="276"/>
      <c r="N281" s="276"/>
      <c r="T281" s="277"/>
      <c r="Z281" s="278"/>
    </row>
    <row r="282" ht="15.75" customHeight="1">
      <c r="D282" s="158"/>
      <c r="G282" s="158"/>
      <c r="K282" s="276"/>
      <c r="N282" s="276"/>
      <c r="T282" s="277"/>
      <c r="Z282" s="278"/>
    </row>
    <row r="283" ht="15.75" customHeight="1">
      <c r="D283" s="158"/>
      <c r="G283" s="158"/>
      <c r="K283" s="276"/>
      <c r="N283" s="276"/>
      <c r="T283" s="277"/>
      <c r="Z283" s="278"/>
    </row>
    <row r="284" ht="15.75" customHeight="1">
      <c r="D284" s="158"/>
      <c r="G284" s="158"/>
      <c r="K284" s="276"/>
      <c r="N284" s="276"/>
      <c r="T284" s="277"/>
      <c r="Z284" s="278"/>
    </row>
    <row r="285" ht="15.75" customHeight="1">
      <c r="D285" s="158"/>
      <c r="G285" s="158"/>
      <c r="K285" s="276"/>
      <c r="N285" s="276"/>
      <c r="T285" s="277"/>
      <c r="Z285" s="278"/>
    </row>
    <row r="286" ht="15.75" customHeight="1">
      <c r="D286" s="158"/>
      <c r="G286" s="158"/>
      <c r="K286" s="276"/>
      <c r="N286" s="276"/>
      <c r="T286" s="277"/>
      <c r="Z286" s="278"/>
    </row>
    <row r="287" ht="15.75" customHeight="1">
      <c r="D287" s="158"/>
      <c r="G287" s="158"/>
      <c r="K287" s="276"/>
      <c r="N287" s="276"/>
      <c r="T287" s="277"/>
      <c r="Z287" s="278"/>
    </row>
    <row r="288" ht="15.75" customHeight="1">
      <c r="D288" s="158"/>
      <c r="G288" s="158"/>
      <c r="K288" s="276"/>
      <c r="N288" s="276"/>
      <c r="T288" s="277"/>
      <c r="Z288" s="278"/>
    </row>
    <row r="289" ht="15.75" customHeight="1">
      <c r="D289" s="158"/>
      <c r="G289" s="158"/>
      <c r="K289" s="276"/>
      <c r="N289" s="276"/>
      <c r="T289" s="277"/>
      <c r="Z289" s="278"/>
    </row>
    <row r="290" ht="15.75" customHeight="1">
      <c r="D290" s="158"/>
      <c r="G290" s="158"/>
      <c r="K290" s="276"/>
      <c r="N290" s="276"/>
      <c r="T290" s="277"/>
      <c r="Z290" s="278"/>
    </row>
    <row r="291" ht="15.75" customHeight="1">
      <c r="D291" s="158"/>
      <c r="G291" s="158"/>
      <c r="K291" s="276"/>
      <c r="N291" s="276"/>
      <c r="T291" s="277"/>
      <c r="Z291" s="278"/>
    </row>
    <row r="292" ht="15.75" customHeight="1">
      <c r="D292" s="158"/>
      <c r="G292" s="158"/>
      <c r="K292" s="276"/>
      <c r="N292" s="276"/>
      <c r="T292" s="277"/>
      <c r="Z292" s="278"/>
    </row>
    <row r="293" ht="15.75" customHeight="1">
      <c r="D293" s="158"/>
      <c r="G293" s="158"/>
      <c r="K293" s="276"/>
      <c r="N293" s="276"/>
      <c r="T293" s="277"/>
      <c r="Z293" s="278"/>
    </row>
    <row r="294" ht="15.75" customHeight="1">
      <c r="D294" s="158"/>
      <c r="G294" s="158"/>
      <c r="K294" s="276"/>
      <c r="N294" s="276"/>
      <c r="T294" s="277"/>
      <c r="Z294" s="278"/>
    </row>
    <row r="295" ht="15.75" customHeight="1">
      <c r="D295" s="158"/>
      <c r="G295" s="158"/>
      <c r="K295" s="276"/>
      <c r="N295" s="276"/>
      <c r="T295" s="277"/>
      <c r="Z295" s="278"/>
    </row>
    <row r="296" ht="15.75" customHeight="1">
      <c r="D296" s="158"/>
      <c r="G296" s="158"/>
      <c r="K296" s="276"/>
      <c r="N296" s="276"/>
      <c r="T296" s="277"/>
      <c r="Z296" s="278"/>
    </row>
    <row r="297" ht="15.75" customHeight="1">
      <c r="D297" s="158"/>
      <c r="G297" s="158"/>
      <c r="K297" s="276"/>
      <c r="N297" s="276"/>
      <c r="T297" s="277"/>
      <c r="Z297" s="278"/>
    </row>
    <row r="298" ht="15.75" customHeight="1">
      <c r="D298" s="158"/>
      <c r="G298" s="158"/>
      <c r="K298" s="276"/>
      <c r="N298" s="276"/>
      <c r="T298" s="277"/>
      <c r="Z298" s="278"/>
    </row>
    <row r="299" ht="15.75" customHeight="1">
      <c r="D299" s="158"/>
      <c r="G299" s="158"/>
      <c r="K299" s="276"/>
      <c r="N299" s="276"/>
      <c r="T299" s="277"/>
      <c r="Z299" s="278"/>
    </row>
    <row r="300" ht="15.75" customHeight="1">
      <c r="D300" s="158"/>
      <c r="G300" s="158"/>
      <c r="K300" s="276"/>
      <c r="N300" s="276"/>
      <c r="T300" s="277"/>
      <c r="Z300" s="278"/>
    </row>
    <row r="301" ht="15.75" customHeight="1">
      <c r="D301" s="158"/>
      <c r="G301" s="158"/>
      <c r="K301" s="276"/>
      <c r="N301" s="276"/>
      <c r="T301" s="277"/>
      <c r="Z301" s="278"/>
    </row>
    <row r="302" ht="15.75" customHeight="1">
      <c r="D302" s="158"/>
      <c r="G302" s="158"/>
      <c r="K302" s="276"/>
      <c r="N302" s="276"/>
      <c r="T302" s="277"/>
      <c r="Z302" s="278"/>
    </row>
    <row r="303" ht="15.75" customHeight="1">
      <c r="D303" s="158"/>
      <c r="G303" s="158"/>
      <c r="K303" s="276"/>
      <c r="N303" s="276"/>
      <c r="T303" s="277"/>
      <c r="Z303" s="278"/>
    </row>
    <row r="304" ht="15.75" customHeight="1">
      <c r="D304" s="158"/>
      <c r="G304" s="158"/>
      <c r="K304" s="276"/>
      <c r="N304" s="276"/>
      <c r="T304" s="277"/>
      <c r="Z304" s="278"/>
    </row>
    <row r="305" ht="15.75" customHeight="1">
      <c r="D305" s="158"/>
      <c r="G305" s="158"/>
      <c r="K305" s="276"/>
      <c r="N305" s="276"/>
      <c r="T305" s="277"/>
      <c r="Z305" s="278"/>
    </row>
    <row r="306" ht="15.75" customHeight="1">
      <c r="D306" s="158"/>
      <c r="G306" s="158"/>
      <c r="K306" s="276"/>
      <c r="N306" s="276"/>
      <c r="T306" s="277"/>
      <c r="Z306" s="278"/>
    </row>
    <row r="307" ht="15.75" customHeight="1">
      <c r="D307" s="158"/>
      <c r="G307" s="158"/>
      <c r="K307" s="276"/>
      <c r="N307" s="276"/>
      <c r="T307" s="277"/>
      <c r="Z307" s="278"/>
    </row>
    <row r="308" ht="15.75" customHeight="1">
      <c r="D308" s="158"/>
      <c r="G308" s="158"/>
      <c r="K308" s="276"/>
      <c r="N308" s="276"/>
      <c r="T308" s="277"/>
      <c r="Z308" s="278"/>
    </row>
    <row r="309" ht="15.75" customHeight="1">
      <c r="D309" s="158"/>
      <c r="G309" s="158"/>
      <c r="K309" s="276"/>
      <c r="N309" s="276"/>
      <c r="T309" s="277"/>
      <c r="Z309" s="278"/>
    </row>
    <row r="310" ht="15.75" customHeight="1">
      <c r="D310" s="158"/>
      <c r="G310" s="158"/>
      <c r="K310" s="276"/>
      <c r="N310" s="276"/>
      <c r="T310" s="277"/>
      <c r="Z310" s="278"/>
    </row>
    <row r="311" ht="15.75" customHeight="1">
      <c r="D311" s="158"/>
      <c r="G311" s="158"/>
      <c r="K311" s="276"/>
      <c r="N311" s="276"/>
      <c r="T311" s="277"/>
      <c r="Z311" s="278"/>
    </row>
    <row r="312" ht="15.75" customHeight="1">
      <c r="D312" s="158"/>
      <c r="G312" s="158"/>
      <c r="K312" s="276"/>
      <c r="N312" s="276"/>
      <c r="T312" s="277"/>
      <c r="Z312" s="278"/>
    </row>
    <row r="313" ht="15.75" customHeight="1">
      <c r="D313" s="158"/>
      <c r="G313" s="158"/>
      <c r="K313" s="276"/>
      <c r="N313" s="276"/>
      <c r="T313" s="277"/>
      <c r="Z313" s="278"/>
    </row>
    <row r="314" ht="15.75" customHeight="1">
      <c r="D314" s="158"/>
      <c r="G314" s="158"/>
      <c r="K314" s="276"/>
      <c r="N314" s="276"/>
      <c r="T314" s="277"/>
      <c r="Z314" s="278"/>
    </row>
    <row r="315" ht="15.75" customHeight="1">
      <c r="D315" s="158"/>
      <c r="G315" s="158"/>
      <c r="K315" s="276"/>
      <c r="N315" s="276"/>
      <c r="T315" s="277"/>
      <c r="Z315" s="278"/>
    </row>
    <row r="316" ht="15.75" customHeight="1">
      <c r="D316" s="158"/>
      <c r="G316" s="158"/>
      <c r="K316" s="276"/>
      <c r="N316" s="276"/>
      <c r="T316" s="277"/>
      <c r="Z316" s="278"/>
    </row>
    <row r="317" ht="15.75" customHeight="1">
      <c r="D317" s="158"/>
      <c r="G317" s="158"/>
      <c r="K317" s="276"/>
      <c r="N317" s="276"/>
      <c r="T317" s="277"/>
      <c r="Z317" s="278"/>
    </row>
    <row r="318" ht="15.75" customHeight="1">
      <c r="D318" s="158"/>
      <c r="G318" s="158"/>
      <c r="K318" s="276"/>
      <c r="N318" s="276"/>
      <c r="T318" s="277"/>
      <c r="Z318" s="278"/>
    </row>
    <row r="319" ht="15.75" customHeight="1">
      <c r="D319" s="158"/>
      <c r="G319" s="158"/>
      <c r="K319" s="276"/>
      <c r="N319" s="276"/>
      <c r="T319" s="277"/>
      <c r="Z319" s="278"/>
    </row>
    <row r="320" ht="15.75" customHeight="1">
      <c r="D320" s="158"/>
      <c r="G320" s="158"/>
      <c r="K320" s="276"/>
      <c r="N320" s="276"/>
      <c r="T320" s="277"/>
      <c r="Z320" s="278"/>
    </row>
    <row r="321" ht="15.75" customHeight="1">
      <c r="D321" s="158"/>
      <c r="G321" s="158"/>
      <c r="K321" s="276"/>
      <c r="N321" s="276"/>
      <c r="T321" s="277"/>
      <c r="Z321" s="278"/>
    </row>
    <row r="322" ht="15.75" customHeight="1">
      <c r="D322" s="158"/>
      <c r="G322" s="158"/>
      <c r="K322" s="276"/>
      <c r="N322" s="276"/>
      <c r="T322" s="277"/>
      <c r="Z322" s="278"/>
    </row>
    <row r="323" ht="15.75" customHeight="1">
      <c r="D323" s="158"/>
      <c r="G323" s="158"/>
      <c r="K323" s="276"/>
      <c r="N323" s="276"/>
      <c r="T323" s="277"/>
      <c r="Z323" s="278"/>
    </row>
    <row r="324" ht="15.75" customHeight="1">
      <c r="D324" s="158"/>
      <c r="G324" s="158"/>
      <c r="K324" s="276"/>
      <c r="N324" s="276"/>
      <c r="T324" s="277"/>
      <c r="Z324" s="278"/>
    </row>
    <row r="325" ht="15.75" customHeight="1">
      <c r="D325" s="158"/>
      <c r="G325" s="158"/>
      <c r="K325" s="276"/>
      <c r="N325" s="276"/>
      <c r="T325" s="277"/>
      <c r="Z325" s="278"/>
    </row>
    <row r="326" ht="15.75" customHeight="1">
      <c r="D326" s="158"/>
      <c r="G326" s="158"/>
      <c r="K326" s="276"/>
      <c r="N326" s="276"/>
      <c r="T326" s="277"/>
      <c r="Z326" s="278"/>
    </row>
    <row r="327" ht="15.75" customHeight="1">
      <c r="D327" s="158"/>
      <c r="G327" s="158"/>
      <c r="K327" s="276"/>
      <c r="N327" s="276"/>
      <c r="T327" s="277"/>
      <c r="Z327" s="278"/>
    </row>
    <row r="328" ht="15.75" customHeight="1">
      <c r="D328" s="158"/>
      <c r="G328" s="158"/>
      <c r="K328" s="276"/>
      <c r="N328" s="276"/>
      <c r="T328" s="277"/>
      <c r="Z328" s="278"/>
    </row>
    <row r="329" ht="15.75" customHeight="1">
      <c r="D329" s="158"/>
      <c r="G329" s="158"/>
      <c r="K329" s="276"/>
      <c r="N329" s="276"/>
      <c r="T329" s="277"/>
      <c r="Z329" s="278"/>
    </row>
    <row r="330" ht="15.75" customHeight="1">
      <c r="D330" s="158"/>
      <c r="G330" s="158"/>
      <c r="K330" s="276"/>
      <c r="N330" s="276"/>
      <c r="T330" s="277"/>
      <c r="Z330" s="278"/>
    </row>
    <row r="331" ht="15.75" customHeight="1">
      <c r="D331" s="158"/>
      <c r="G331" s="158"/>
      <c r="K331" s="276"/>
      <c r="N331" s="276"/>
      <c r="T331" s="277"/>
      <c r="Z331" s="278"/>
    </row>
    <row r="332" ht="15.75" customHeight="1">
      <c r="D332" s="158"/>
      <c r="G332" s="158"/>
      <c r="K332" s="276"/>
      <c r="N332" s="276"/>
      <c r="T332" s="277"/>
      <c r="Z332" s="278"/>
    </row>
    <row r="333" ht="15.75" customHeight="1">
      <c r="D333" s="158"/>
      <c r="G333" s="158"/>
      <c r="K333" s="276"/>
      <c r="N333" s="276"/>
      <c r="T333" s="277"/>
      <c r="Z333" s="278"/>
    </row>
    <row r="334" ht="15.75" customHeight="1">
      <c r="D334" s="158"/>
      <c r="G334" s="158"/>
      <c r="K334" s="276"/>
      <c r="N334" s="276"/>
      <c r="T334" s="277"/>
      <c r="Z334" s="278"/>
    </row>
    <row r="335" ht="15.75" customHeight="1">
      <c r="D335" s="158"/>
      <c r="G335" s="158"/>
      <c r="K335" s="276"/>
      <c r="N335" s="276"/>
      <c r="T335" s="277"/>
      <c r="Z335" s="278"/>
    </row>
    <row r="336" ht="15.75" customHeight="1">
      <c r="D336" s="158"/>
      <c r="G336" s="158"/>
      <c r="K336" s="276"/>
      <c r="N336" s="276"/>
      <c r="T336" s="277"/>
      <c r="Z336" s="278"/>
    </row>
    <row r="337" ht="15.75" customHeight="1">
      <c r="D337" s="158"/>
      <c r="G337" s="158"/>
      <c r="K337" s="276"/>
      <c r="N337" s="276"/>
      <c r="T337" s="277"/>
      <c r="Z337" s="278"/>
    </row>
    <row r="338" ht="15.75" customHeight="1">
      <c r="D338" s="158"/>
      <c r="G338" s="158"/>
      <c r="K338" s="276"/>
      <c r="N338" s="276"/>
      <c r="T338" s="277"/>
      <c r="Z338" s="278"/>
    </row>
    <row r="339" ht="15.75" customHeight="1">
      <c r="D339" s="158"/>
      <c r="G339" s="158"/>
      <c r="K339" s="276"/>
      <c r="N339" s="276"/>
      <c r="T339" s="277"/>
      <c r="Z339" s="278"/>
    </row>
    <row r="340" ht="15.75" customHeight="1">
      <c r="D340" s="158"/>
      <c r="G340" s="158"/>
      <c r="K340" s="276"/>
      <c r="N340" s="276"/>
      <c r="T340" s="277"/>
      <c r="Z340" s="278"/>
    </row>
    <row r="341" ht="15.75" customHeight="1">
      <c r="D341" s="158"/>
      <c r="G341" s="158"/>
      <c r="K341" s="276"/>
      <c r="N341" s="276"/>
      <c r="T341" s="277"/>
      <c r="Z341" s="278"/>
    </row>
    <row r="342" ht="15.75" customHeight="1">
      <c r="D342" s="158"/>
      <c r="G342" s="158"/>
      <c r="K342" s="276"/>
      <c r="N342" s="276"/>
      <c r="T342" s="277"/>
      <c r="Z342" s="278"/>
    </row>
    <row r="343" ht="15.75" customHeight="1">
      <c r="D343" s="158"/>
      <c r="G343" s="158"/>
      <c r="K343" s="276"/>
      <c r="N343" s="276"/>
      <c r="T343" s="277"/>
      <c r="Z343" s="278"/>
    </row>
    <row r="344" ht="15.75" customHeight="1">
      <c r="D344" s="158"/>
      <c r="G344" s="158"/>
      <c r="K344" s="276"/>
      <c r="N344" s="276"/>
      <c r="T344" s="277"/>
      <c r="Z344" s="278"/>
    </row>
    <row r="345" ht="15.75" customHeight="1">
      <c r="D345" s="158"/>
      <c r="G345" s="158"/>
      <c r="K345" s="276"/>
      <c r="N345" s="276"/>
      <c r="T345" s="277"/>
      <c r="Z345" s="278"/>
    </row>
    <row r="346" ht="15.75" customHeight="1">
      <c r="D346" s="158"/>
      <c r="G346" s="158"/>
      <c r="K346" s="276"/>
      <c r="N346" s="276"/>
      <c r="T346" s="277"/>
      <c r="Z346" s="278"/>
    </row>
    <row r="347" ht="15.75" customHeight="1">
      <c r="D347" s="158"/>
      <c r="G347" s="158"/>
      <c r="K347" s="276"/>
      <c r="N347" s="276"/>
      <c r="T347" s="277"/>
      <c r="Z347" s="278"/>
    </row>
    <row r="348" ht="15.75" customHeight="1">
      <c r="D348" s="158"/>
      <c r="G348" s="158"/>
      <c r="K348" s="276"/>
      <c r="N348" s="276"/>
      <c r="T348" s="277"/>
      <c r="Z348" s="278"/>
    </row>
    <row r="349" ht="15.75" customHeight="1">
      <c r="D349" s="158"/>
      <c r="G349" s="158"/>
      <c r="K349" s="276"/>
      <c r="N349" s="276"/>
      <c r="T349" s="277"/>
      <c r="Z349" s="278"/>
    </row>
    <row r="350" ht="15.75" customHeight="1">
      <c r="D350" s="158"/>
      <c r="G350" s="158"/>
      <c r="K350" s="276"/>
      <c r="N350" s="276"/>
      <c r="T350" s="277"/>
      <c r="Z350" s="278"/>
    </row>
    <row r="351" ht="15.75" customHeight="1">
      <c r="D351" s="158"/>
      <c r="G351" s="158"/>
      <c r="K351" s="276"/>
      <c r="N351" s="276"/>
      <c r="T351" s="277"/>
      <c r="Z351" s="278"/>
    </row>
    <row r="352" ht="15.75" customHeight="1">
      <c r="D352" s="158"/>
      <c r="G352" s="158"/>
      <c r="K352" s="276"/>
      <c r="N352" s="276"/>
      <c r="T352" s="277"/>
      <c r="Z352" s="278"/>
    </row>
    <row r="353" ht="15.75" customHeight="1">
      <c r="D353" s="158"/>
      <c r="G353" s="158"/>
      <c r="K353" s="276"/>
      <c r="N353" s="276"/>
      <c r="T353" s="277"/>
      <c r="Z353" s="278"/>
    </row>
    <row r="354" ht="15.75" customHeight="1">
      <c r="D354" s="158"/>
      <c r="G354" s="158"/>
      <c r="K354" s="276"/>
      <c r="N354" s="276"/>
      <c r="T354" s="277"/>
      <c r="Z354" s="278"/>
    </row>
    <row r="355" ht="15.75" customHeight="1">
      <c r="D355" s="158"/>
      <c r="G355" s="158"/>
      <c r="K355" s="276"/>
      <c r="N355" s="276"/>
      <c r="T355" s="277"/>
      <c r="Z355" s="278"/>
    </row>
    <row r="356" ht="15.75" customHeight="1">
      <c r="D356" s="158"/>
      <c r="G356" s="158"/>
      <c r="K356" s="276"/>
      <c r="N356" s="276"/>
      <c r="T356" s="277"/>
      <c r="Z356" s="278"/>
    </row>
    <row r="357" ht="15.75" customHeight="1">
      <c r="D357" s="158"/>
      <c r="G357" s="158"/>
      <c r="K357" s="276"/>
      <c r="N357" s="276"/>
      <c r="T357" s="277"/>
      <c r="Z357" s="278"/>
    </row>
    <row r="358" ht="15.75" customHeight="1">
      <c r="D358" s="158"/>
      <c r="G358" s="158"/>
      <c r="K358" s="276"/>
      <c r="N358" s="276"/>
      <c r="T358" s="277"/>
      <c r="Z358" s="278"/>
    </row>
    <row r="359" ht="15.75" customHeight="1">
      <c r="D359" s="158"/>
      <c r="G359" s="158"/>
      <c r="K359" s="276"/>
      <c r="N359" s="276"/>
      <c r="T359" s="277"/>
      <c r="Z359" s="278"/>
    </row>
    <row r="360" ht="15.75" customHeight="1">
      <c r="D360" s="158"/>
      <c r="G360" s="158"/>
      <c r="K360" s="276"/>
      <c r="N360" s="276"/>
      <c r="T360" s="277"/>
      <c r="Z360" s="278"/>
    </row>
    <row r="361" ht="15.75" customHeight="1">
      <c r="D361" s="158"/>
      <c r="G361" s="158"/>
      <c r="K361" s="276"/>
      <c r="N361" s="276"/>
      <c r="T361" s="277"/>
      <c r="Z361" s="278"/>
    </row>
    <row r="362" ht="15.75" customHeight="1">
      <c r="D362" s="158"/>
      <c r="G362" s="158"/>
      <c r="K362" s="276"/>
      <c r="N362" s="276"/>
      <c r="T362" s="277"/>
      <c r="Z362" s="278"/>
    </row>
    <row r="363" ht="15.75" customHeight="1">
      <c r="D363" s="158"/>
      <c r="G363" s="158"/>
      <c r="K363" s="276"/>
      <c r="N363" s="276"/>
      <c r="T363" s="277"/>
      <c r="Z363" s="278"/>
    </row>
    <row r="364" ht="15.75" customHeight="1">
      <c r="D364" s="158"/>
      <c r="G364" s="158"/>
      <c r="K364" s="276"/>
      <c r="N364" s="276"/>
      <c r="T364" s="277"/>
      <c r="Z364" s="278"/>
    </row>
    <row r="365" ht="15.75" customHeight="1">
      <c r="D365" s="158"/>
      <c r="G365" s="158"/>
      <c r="K365" s="276"/>
      <c r="N365" s="276"/>
      <c r="T365" s="277"/>
      <c r="Z365" s="278"/>
    </row>
    <row r="366" ht="15.75" customHeight="1">
      <c r="D366" s="158"/>
      <c r="G366" s="158"/>
      <c r="K366" s="276"/>
      <c r="N366" s="276"/>
      <c r="T366" s="277"/>
      <c r="Z366" s="278"/>
    </row>
    <row r="367" ht="15.75" customHeight="1">
      <c r="D367" s="158"/>
      <c r="G367" s="158"/>
      <c r="K367" s="276"/>
      <c r="N367" s="276"/>
      <c r="T367" s="277"/>
      <c r="Z367" s="278"/>
    </row>
    <row r="368" ht="15.75" customHeight="1">
      <c r="D368" s="158"/>
      <c r="G368" s="158"/>
      <c r="K368" s="276"/>
      <c r="N368" s="276"/>
      <c r="T368" s="277"/>
      <c r="Z368" s="278"/>
    </row>
    <row r="369" ht="15.75" customHeight="1">
      <c r="D369" s="158"/>
      <c r="G369" s="158"/>
      <c r="K369" s="276"/>
      <c r="N369" s="276"/>
      <c r="T369" s="277"/>
      <c r="Z369" s="278"/>
    </row>
    <row r="370" ht="15.75" customHeight="1">
      <c r="D370" s="158"/>
      <c r="G370" s="158"/>
      <c r="K370" s="276"/>
      <c r="N370" s="276"/>
      <c r="T370" s="277"/>
      <c r="Z370" s="278"/>
    </row>
    <row r="371" ht="15.75" customHeight="1">
      <c r="D371" s="158"/>
      <c r="G371" s="158"/>
      <c r="K371" s="276"/>
      <c r="N371" s="276"/>
      <c r="T371" s="277"/>
      <c r="Z371" s="278"/>
    </row>
    <row r="372" ht="15.75" customHeight="1">
      <c r="D372" s="158"/>
      <c r="G372" s="158"/>
      <c r="K372" s="276"/>
      <c r="N372" s="276"/>
      <c r="T372" s="277"/>
      <c r="Z372" s="278"/>
    </row>
    <row r="373" ht="15.75" customHeight="1">
      <c r="D373" s="158"/>
      <c r="G373" s="158"/>
      <c r="K373" s="276"/>
      <c r="N373" s="276"/>
      <c r="T373" s="277"/>
      <c r="Z373" s="278"/>
    </row>
    <row r="374" ht="15.75" customHeight="1">
      <c r="D374" s="158"/>
      <c r="G374" s="158"/>
      <c r="K374" s="276"/>
      <c r="N374" s="276"/>
      <c r="T374" s="277"/>
      <c r="Z374" s="278"/>
    </row>
    <row r="375" ht="15.75" customHeight="1">
      <c r="D375" s="158"/>
      <c r="G375" s="158"/>
      <c r="K375" s="276"/>
      <c r="N375" s="276"/>
      <c r="T375" s="277"/>
      <c r="Z375" s="278"/>
    </row>
    <row r="376" ht="15.75" customHeight="1">
      <c r="D376" s="158"/>
      <c r="G376" s="158"/>
      <c r="K376" s="276"/>
      <c r="N376" s="276"/>
      <c r="T376" s="277"/>
      <c r="Z376" s="278"/>
    </row>
    <row r="377" ht="15.75" customHeight="1">
      <c r="D377" s="158"/>
      <c r="G377" s="158"/>
      <c r="K377" s="276"/>
      <c r="N377" s="276"/>
      <c r="T377" s="277"/>
      <c r="Z377" s="278"/>
    </row>
    <row r="378" ht="15.75" customHeight="1">
      <c r="D378" s="158"/>
      <c r="G378" s="158"/>
      <c r="K378" s="276"/>
      <c r="N378" s="276"/>
      <c r="T378" s="277"/>
      <c r="Z378" s="278"/>
    </row>
    <row r="379" ht="15.75" customHeight="1">
      <c r="D379" s="158"/>
      <c r="G379" s="158"/>
      <c r="K379" s="276"/>
      <c r="N379" s="276"/>
      <c r="T379" s="277"/>
      <c r="Z379" s="278"/>
    </row>
    <row r="380" ht="15.75" customHeight="1">
      <c r="D380" s="158"/>
      <c r="G380" s="158"/>
      <c r="K380" s="276"/>
      <c r="N380" s="276"/>
      <c r="T380" s="277"/>
      <c r="Z380" s="278"/>
    </row>
    <row r="381" ht="15.75" customHeight="1">
      <c r="D381" s="158"/>
      <c r="G381" s="158"/>
      <c r="K381" s="276"/>
      <c r="N381" s="276"/>
      <c r="T381" s="277"/>
      <c r="Z381" s="278"/>
    </row>
    <row r="382" ht="15.75" customHeight="1">
      <c r="D382" s="158"/>
      <c r="G382" s="158"/>
      <c r="K382" s="276"/>
      <c r="N382" s="276"/>
      <c r="T382" s="277"/>
      <c r="Z382" s="278"/>
    </row>
    <row r="383" ht="15.75" customHeight="1">
      <c r="D383" s="158"/>
      <c r="G383" s="158"/>
      <c r="K383" s="276"/>
      <c r="N383" s="276"/>
      <c r="T383" s="277"/>
      <c r="Z383" s="278"/>
    </row>
    <row r="384" ht="15.75" customHeight="1">
      <c r="D384" s="158"/>
      <c r="G384" s="158"/>
      <c r="K384" s="276"/>
      <c r="N384" s="276"/>
      <c r="T384" s="277"/>
      <c r="Z384" s="278"/>
    </row>
    <row r="385" ht="15.75" customHeight="1">
      <c r="D385" s="158"/>
      <c r="G385" s="158"/>
      <c r="K385" s="276"/>
      <c r="N385" s="276"/>
      <c r="T385" s="277"/>
      <c r="Z385" s="278"/>
    </row>
    <row r="386" ht="15.75" customHeight="1">
      <c r="D386" s="158"/>
      <c r="G386" s="158"/>
      <c r="K386" s="276"/>
      <c r="N386" s="276"/>
      <c r="T386" s="277"/>
      <c r="Z386" s="278"/>
    </row>
    <row r="387" ht="15.75" customHeight="1">
      <c r="D387" s="158"/>
      <c r="G387" s="158"/>
      <c r="K387" s="276"/>
      <c r="N387" s="276"/>
      <c r="T387" s="277"/>
      <c r="Z387" s="278"/>
    </row>
    <row r="388" ht="15.75" customHeight="1">
      <c r="D388" s="158"/>
      <c r="G388" s="158"/>
      <c r="K388" s="276"/>
      <c r="N388" s="276"/>
      <c r="T388" s="277"/>
      <c r="Z388" s="278"/>
    </row>
    <row r="389" ht="15.75" customHeight="1">
      <c r="D389" s="158"/>
      <c r="G389" s="158"/>
      <c r="K389" s="276"/>
      <c r="N389" s="276"/>
      <c r="T389" s="277"/>
      <c r="Z389" s="278"/>
    </row>
    <row r="390" ht="15.75" customHeight="1">
      <c r="D390" s="158"/>
      <c r="G390" s="158"/>
      <c r="K390" s="276"/>
      <c r="N390" s="276"/>
      <c r="T390" s="277"/>
      <c r="Z390" s="278"/>
    </row>
    <row r="391" ht="15.75" customHeight="1">
      <c r="D391" s="158"/>
      <c r="G391" s="158"/>
      <c r="K391" s="276"/>
      <c r="N391" s="276"/>
      <c r="T391" s="277"/>
      <c r="Z391" s="278"/>
    </row>
    <row r="392" ht="15.75" customHeight="1">
      <c r="D392" s="158"/>
      <c r="G392" s="158"/>
      <c r="K392" s="276"/>
      <c r="N392" s="276"/>
      <c r="T392" s="277"/>
      <c r="Z392" s="278"/>
    </row>
    <row r="393" ht="15.75" customHeight="1">
      <c r="D393" s="158"/>
      <c r="G393" s="158"/>
      <c r="K393" s="276"/>
      <c r="N393" s="276"/>
      <c r="T393" s="277"/>
      <c r="Z393" s="278"/>
    </row>
    <row r="394" ht="15.75" customHeight="1">
      <c r="D394" s="158"/>
      <c r="G394" s="158"/>
      <c r="K394" s="276"/>
      <c r="N394" s="276"/>
      <c r="T394" s="277"/>
      <c r="Z394" s="278"/>
    </row>
    <row r="395" ht="15.75" customHeight="1">
      <c r="D395" s="158"/>
      <c r="G395" s="158"/>
      <c r="K395" s="276"/>
      <c r="N395" s="276"/>
      <c r="T395" s="277"/>
      <c r="Z395" s="278"/>
    </row>
    <row r="396" ht="15.75" customHeight="1">
      <c r="D396" s="158"/>
      <c r="G396" s="158"/>
      <c r="K396" s="276"/>
      <c r="N396" s="276"/>
      <c r="T396" s="277"/>
      <c r="Z396" s="278"/>
    </row>
    <row r="397" ht="15.75" customHeight="1">
      <c r="D397" s="158"/>
      <c r="G397" s="158"/>
      <c r="K397" s="276"/>
      <c r="N397" s="276"/>
      <c r="T397" s="277"/>
      <c r="Z397" s="278"/>
    </row>
    <row r="398" ht="15.75" customHeight="1">
      <c r="D398" s="158"/>
      <c r="G398" s="158"/>
      <c r="K398" s="276"/>
      <c r="N398" s="276"/>
      <c r="T398" s="277"/>
      <c r="Z398" s="278"/>
    </row>
    <row r="399" ht="15.75" customHeight="1">
      <c r="D399" s="158"/>
      <c r="G399" s="158"/>
      <c r="K399" s="276"/>
      <c r="N399" s="276"/>
      <c r="T399" s="277"/>
      <c r="Z399" s="278"/>
    </row>
    <row r="400" ht="15.75" customHeight="1">
      <c r="D400" s="158"/>
      <c r="G400" s="158"/>
      <c r="K400" s="276"/>
      <c r="N400" s="276"/>
      <c r="T400" s="277"/>
      <c r="Z400" s="278"/>
    </row>
    <row r="401" ht="15.75" customHeight="1">
      <c r="D401" s="158"/>
      <c r="G401" s="158"/>
      <c r="K401" s="276"/>
      <c r="N401" s="276"/>
      <c r="T401" s="277"/>
      <c r="Z401" s="278"/>
    </row>
    <row r="402" ht="15.75" customHeight="1">
      <c r="D402" s="158"/>
      <c r="G402" s="158"/>
      <c r="K402" s="276"/>
      <c r="N402" s="276"/>
      <c r="T402" s="277"/>
      <c r="Z402" s="278"/>
    </row>
    <row r="403" ht="15.75" customHeight="1">
      <c r="D403" s="158"/>
      <c r="G403" s="158"/>
      <c r="K403" s="276"/>
      <c r="N403" s="276"/>
      <c r="T403" s="277"/>
      <c r="Z403" s="278"/>
    </row>
    <row r="404" ht="15.75" customHeight="1">
      <c r="D404" s="158"/>
      <c r="G404" s="158"/>
      <c r="K404" s="276"/>
      <c r="N404" s="276"/>
      <c r="T404" s="277"/>
      <c r="Z404" s="278"/>
    </row>
    <row r="405" ht="15.75" customHeight="1">
      <c r="D405" s="158"/>
      <c r="G405" s="158"/>
      <c r="K405" s="276"/>
      <c r="N405" s="276"/>
      <c r="T405" s="277"/>
      <c r="Z405" s="278"/>
    </row>
    <row r="406" ht="15.75" customHeight="1">
      <c r="D406" s="158"/>
      <c r="G406" s="158"/>
      <c r="K406" s="276"/>
      <c r="N406" s="276"/>
      <c r="T406" s="277"/>
      <c r="Z406" s="278"/>
    </row>
    <row r="407" ht="15.75" customHeight="1">
      <c r="D407" s="158"/>
      <c r="G407" s="158"/>
      <c r="K407" s="276"/>
      <c r="N407" s="276"/>
      <c r="T407" s="277"/>
      <c r="Z407" s="278"/>
    </row>
    <row r="408" ht="15.75" customHeight="1">
      <c r="D408" s="158"/>
      <c r="G408" s="158"/>
      <c r="K408" s="276"/>
      <c r="N408" s="276"/>
      <c r="T408" s="277"/>
      <c r="Z408" s="278"/>
    </row>
    <row r="409" ht="15.75" customHeight="1">
      <c r="D409" s="158"/>
      <c r="G409" s="158"/>
      <c r="K409" s="276"/>
      <c r="N409" s="276"/>
      <c r="T409" s="277"/>
      <c r="Z409" s="278"/>
    </row>
    <row r="410" ht="15.75" customHeight="1">
      <c r="D410" s="158"/>
      <c r="G410" s="158"/>
      <c r="K410" s="276"/>
      <c r="N410" s="276"/>
      <c r="T410" s="277"/>
      <c r="Z410" s="278"/>
    </row>
    <row r="411" ht="15.75" customHeight="1">
      <c r="D411" s="158"/>
      <c r="G411" s="158"/>
      <c r="K411" s="276"/>
      <c r="N411" s="276"/>
      <c r="T411" s="277"/>
      <c r="Z411" s="278"/>
    </row>
    <row r="412" ht="15.75" customHeight="1">
      <c r="D412" s="158"/>
      <c r="G412" s="158"/>
      <c r="K412" s="276"/>
      <c r="N412" s="276"/>
      <c r="T412" s="277"/>
      <c r="Z412" s="278"/>
    </row>
    <row r="413" ht="15.75" customHeight="1">
      <c r="D413" s="158"/>
      <c r="G413" s="158"/>
      <c r="K413" s="276"/>
      <c r="N413" s="276"/>
      <c r="T413" s="277"/>
      <c r="Z413" s="278"/>
    </row>
    <row r="414" ht="15.75" customHeight="1">
      <c r="D414" s="158"/>
      <c r="G414" s="158"/>
      <c r="K414" s="276"/>
      <c r="N414" s="276"/>
      <c r="T414" s="277"/>
      <c r="Z414" s="278"/>
    </row>
    <row r="415" ht="15.75" customHeight="1">
      <c r="D415" s="158"/>
      <c r="G415" s="158"/>
      <c r="K415" s="276"/>
      <c r="N415" s="276"/>
      <c r="T415" s="277"/>
      <c r="Z415" s="278"/>
    </row>
    <row r="416" ht="15.75" customHeight="1">
      <c r="D416" s="158"/>
      <c r="G416" s="158"/>
      <c r="K416" s="276"/>
      <c r="N416" s="276"/>
      <c r="T416" s="277"/>
      <c r="Z416" s="278"/>
    </row>
    <row r="417" ht="15.75" customHeight="1">
      <c r="D417" s="158"/>
      <c r="G417" s="158"/>
      <c r="K417" s="276"/>
      <c r="N417" s="276"/>
      <c r="T417" s="277"/>
      <c r="Z417" s="278"/>
    </row>
    <row r="418" ht="15.75" customHeight="1">
      <c r="D418" s="158"/>
      <c r="G418" s="158"/>
      <c r="K418" s="276"/>
      <c r="N418" s="276"/>
      <c r="T418" s="277"/>
      <c r="Z418" s="278"/>
    </row>
    <row r="419" ht="15.75" customHeight="1">
      <c r="D419" s="158"/>
      <c r="G419" s="158"/>
      <c r="K419" s="276"/>
      <c r="N419" s="276"/>
      <c r="T419" s="277"/>
      <c r="Z419" s="278"/>
    </row>
    <row r="420" ht="15.75" customHeight="1">
      <c r="D420" s="158"/>
      <c r="G420" s="158"/>
      <c r="K420" s="276"/>
      <c r="N420" s="276"/>
      <c r="T420" s="277"/>
      <c r="Z420" s="278"/>
    </row>
    <row r="421" ht="15.75" customHeight="1">
      <c r="D421" s="158"/>
      <c r="G421" s="158"/>
      <c r="K421" s="276"/>
      <c r="N421" s="276"/>
      <c r="T421" s="277"/>
      <c r="Z421" s="278"/>
    </row>
    <row r="422" ht="15.75" customHeight="1">
      <c r="D422" s="158"/>
      <c r="G422" s="158"/>
      <c r="K422" s="276"/>
      <c r="N422" s="276"/>
      <c r="T422" s="277"/>
      <c r="Z422" s="278"/>
    </row>
    <row r="423" ht="15.75" customHeight="1">
      <c r="D423" s="158"/>
      <c r="G423" s="158"/>
      <c r="K423" s="276"/>
      <c r="N423" s="276"/>
      <c r="T423" s="277"/>
      <c r="Z423" s="278"/>
    </row>
    <row r="424" ht="15.75" customHeight="1">
      <c r="D424" s="158"/>
      <c r="G424" s="158"/>
      <c r="K424" s="276"/>
      <c r="N424" s="276"/>
      <c r="T424" s="277"/>
      <c r="Z424" s="278"/>
    </row>
    <row r="425" ht="15.75" customHeight="1">
      <c r="D425" s="158"/>
      <c r="G425" s="158"/>
      <c r="K425" s="276"/>
      <c r="N425" s="276"/>
      <c r="T425" s="277"/>
      <c r="Z425" s="278"/>
    </row>
    <row r="426" ht="15.75" customHeight="1">
      <c r="D426" s="158"/>
      <c r="G426" s="158"/>
      <c r="K426" s="276"/>
      <c r="N426" s="276"/>
      <c r="T426" s="277"/>
      <c r="Z426" s="278"/>
    </row>
    <row r="427" ht="15.75" customHeight="1">
      <c r="D427" s="158"/>
      <c r="G427" s="158"/>
      <c r="K427" s="276"/>
      <c r="N427" s="276"/>
      <c r="T427" s="277"/>
      <c r="Z427" s="278"/>
    </row>
    <row r="428" ht="15.75" customHeight="1">
      <c r="D428" s="158"/>
      <c r="G428" s="158"/>
      <c r="K428" s="276"/>
      <c r="N428" s="276"/>
      <c r="T428" s="277"/>
      <c r="Z428" s="278"/>
    </row>
    <row r="429" ht="15.75" customHeight="1">
      <c r="D429" s="158"/>
      <c r="G429" s="158"/>
      <c r="K429" s="276"/>
      <c r="N429" s="276"/>
      <c r="T429" s="277"/>
      <c r="Z429" s="278"/>
    </row>
    <row r="430" ht="15.75" customHeight="1">
      <c r="D430" s="158"/>
      <c r="G430" s="158"/>
      <c r="K430" s="276"/>
      <c r="N430" s="276"/>
      <c r="T430" s="277"/>
      <c r="Z430" s="278"/>
    </row>
    <row r="431" ht="15.75" customHeight="1">
      <c r="D431" s="158"/>
      <c r="G431" s="158"/>
      <c r="K431" s="276"/>
      <c r="N431" s="276"/>
      <c r="T431" s="277"/>
      <c r="Z431" s="278"/>
    </row>
    <row r="432" ht="15.75" customHeight="1">
      <c r="D432" s="158"/>
      <c r="G432" s="158"/>
      <c r="K432" s="276"/>
      <c r="N432" s="276"/>
      <c r="T432" s="277"/>
      <c r="Z432" s="278"/>
    </row>
    <row r="433" ht="15.75" customHeight="1">
      <c r="D433" s="158"/>
      <c r="G433" s="158"/>
      <c r="K433" s="276"/>
      <c r="N433" s="276"/>
      <c r="T433" s="277"/>
      <c r="Z433" s="278"/>
    </row>
    <row r="434" ht="15.75" customHeight="1">
      <c r="D434" s="158"/>
      <c r="G434" s="158"/>
      <c r="K434" s="276"/>
      <c r="N434" s="276"/>
      <c r="T434" s="277"/>
      <c r="Z434" s="278"/>
    </row>
    <row r="435" ht="15.75" customHeight="1">
      <c r="D435" s="158"/>
      <c r="G435" s="158"/>
      <c r="K435" s="276"/>
      <c r="N435" s="276"/>
      <c r="T435" s="277"/>
      <c r="Z435" s="278"/>
    </row>
    <row r="436" ht="15.75" customHeight="1">
      <c r="D436" s="158"/>
      <c r="G436" s="158"/>
      <c r="K436" s="276"/>
      <c r="N436" s="276"/>
      <c r="T436" s="277"/>
      <c r="Z436" s="278"/>
    </row>
    <row r="437" ht="15.75" customHeight="1">
      <c r="D437" s="158"/>
      <c r="G437" s="158"/>
      <c r="K437" s="276"/>
      <c r="N437" s="276"/>
      <c r="T437" s="277"/>
      <c r="Z437" s="278"/>
    </row>
    <row r="438" ht="15.75" customHeight="1">
      <c r="D438" s="158"/>
      <c r="G438" s="158"/>
      <c r="K438" s="276"/>
      <c r="N438" s="276"/>
      <c r="T438" s="277"/>
      <c r="Z438" s="278"/>
    </row>
    <row r="439" ht="15.75" customHeight="1">
      <c r="D439" s="158"/>
      <c r="G439" s="158"/>
      <c r="K439" s="276"/>
      <c r="N439" s="276"/>
      <c r="T439" s="277"/>
      <c r="Z439" s="278"/>
    </row>
    <row r="440" ht="15.75" customHeight="1">
      <c r="D440" s="158"/>
      <c r="G440" s="158"/>
      <c r="K440" s="276"/>
      <c r="N440" s="276"/>
      <c r="T440" s="277"/>
      <c r="Z440" s="278"/>
    </row>
    <row r="441" ht="15.75" customHeight="1">
      <c r="D441" s="158"/>
      <c r="G441" s="158"/>
      <c r="K441" s="276"/>
      <c r="N441" s="276"/>
      <c r="T441" s="277"/>
      <c r="Z441" s="278"/>
    </row>
    <row r="442" ht="15.75" customHeight="1">
      <c r="D442" s="158"/>
      <c r="G442" s="158"/>
      <c r="K442" s="276"/>
      <c r="N442" s="276"/>
      <c r="T442" s="277"/>
      <c r="Z442" s="278"/>
    </row>
    <row r="443" ht="15.75" customHeight="1">
      <c r="D443" s="158"/>
      <c r="G443" s="158"/>
      <c r="K443" s="276"/>
      <c r="N443" s="276"/>
      <c r="T443" s="277"/>
      <c r="Z443" s="278"/>
    </row>
    <row r="444" ht="15.75" customHeight="1">
      <c r="D444" s="158"/>
      <c r="G444" s="158"/>
      <c r="K444" s="276"/>
      <c r="N444" s="276"/>
      <c r="T444" s="277"/>
      <c r="Z444" s="278"/>
    </row>
    <row r="445" ht="15.75" customHeight="1">
      <c r="D445" s="158"/>
      <c r="G445" s="158"/>
      <c r="K445" s="276"/>
      <c r="N445" s="276"/>
      <c r="T445" s="277"/>
      <c r="Z445" s="278"/>
    </row>
    <row r="446" ht="15.75" customHeight="1">
      <c r="D446" s="158"/>
      <c r="G446" s="158"/>
      <c r="K446" s="276"/>
      <c r="N446" s="276"/>
      <c r="T446" s="277"/>
      <c r="Z446" s="278"/>
    </row>
    <row r="447" ht="15.75" customHeight="1">
      <c r="D447" s="158"/>
      <c r="G447" s="158"/>
      <c r="K447" s="276"/>
      <c r="N447" s="276"/>
      <c r="T447" s="277"/>
      <c r="Z447" s="278"/>
    </row>
    <row r="448" ht="15.75" customHeight="1">
      <c r="D448" s="158"/>
      <c r="G448" s="158"/>
      <c r="K448" s="276"/>
      <c r="N448" s="276"/>
      <c r="T448" s="277"/>
      <c r="Z448" s="278"/>
    </row>
    <row r="449" ht="15.75" customHeight="1">
      <c r="D449" s="158"/>
      <c r="G449" s="158"/>
      <c r="K449" s="276"/>
      <c r="N449" s="276"/>
      <c r="T449" s="277"/>
      <c r="Z449" s="278"/>
    </row>
    <row r="450" ht="15.75" customHeight="1">
      <c r="D450" s="158"/>
      <c r="G450" s="158"/>
      <c r="K450" s="276"/>
      <c r="N450" s="276"/>
      <c r="T450" s="277"/>
      <c r="Z450" s="278"/>
    </row>
    <row r="451" ht="15.75" customHeight="1">
      <c r="D451" s="158"/>
      <c r="G451" s="158"/>
      <c r="K451" s="276"/>
      <c r="N451" s="276"/>
      <c r="T451" s="277"/>
      <c r="Z451" s="278"/>
    </row>
    <row r="452" ht="15.75" customHeight="1">
      <c r="D452" s="158"/>
      <c r="G452" s="158"/>
      <c r="K452" s="276"/>
      <c r="N452" s="276"/>
      <c r="T452" s="277"/>
      <c r="Z452" s="278"/>
    </row>
    <row r="453" ht="15.75" customHeight="1">
      <c r="D453" s="158"/>
      <c r="G453" s="158"/>
      <c r="K453" s="276"/>
      <c r="N453" s="276"/>
      <c r="T453" s="277"/>
      <c r="Z453" s="278"/>
    </row>
    <row r="454" ht="15.75" customHeight="1">
      <c r="D454" s="158"/>
      <c r="G454" s="158"/>
      <c r="K454" s="276"/>
      <c r="N454" s="276"/>
      <c r="T454" s="277"/>
      <c r="Z454" s="278"/>
    </row>
    <row r="455" ht="15.75" customHeight="1">
      <c r="D455" s="158"/>
      <c r="G455" s="158"/>
      <c r="K455" s="276"/>
      <c r="N455" s="276"/>
      <c r="T455" s="277"/>
      <c r="Z455" s="278"/>
    </row>
    <row r="456" ht="15.75" customHeight="1">
      <c r="D456" s="158"/>
      <c r="G456" s="158"/>
      <c r="K456" s="276"/>
      <c r="N456" s="276"/>
      <c r="T456" s="277"/>
      <c r="Z456" s="278"/>
    </row>
    <row r="457" ht="15.75" customHeight="1">
      <c r="D457" s="158"/>
      <c r="G457" s="158"/>
      <c r="K457" s="276"/>
      <c r="N457" s="276"/>
      <c r="T457" s="277"/>
      <c r="Z457" s="278"/>
    </row>
    <row r="458" ht="15.75" customHeight="1">
      <c r="D458" s="158"/>
      <c r="G458" s="158"/>
      <c r="K458" s="276"/>
      <c r="N458" s="276"/>
      <c r="T458" s="277"/>
      <c r="Z458" s="278"/>
    </row>
    <row r="459" ht="15.75" customHeight="1">
      <c r="D459" s="158"/>
      <c r="G459" s="158"/>
      <c r="K459" s="276"/>
      <c r="N459" s="276"/>
      <c r="T459" s="277"/>
      <c r="Z459" s="278"/>
    </row>
    <row r="460" ht="15.75" customHeight="1">
      <c r="D460" s="158"/>
      <c r="G460" s="158"/>
      <c r="K460" s="276"/>
      <c r="N460" s="276"/>
      <c r="T460" s="277"/>
      <c r="Z460" s="278"/>
    </row>
    <row r="461" ht="15.75" customHeight="1">
      <c r="D461" s="158"/>
      <c r="G461" s="158"/>
      <c r="K461" s="276"/>
      <c r="N461" s="276"/>
      <c r="T461" s="277"/>
      <c r="Z461" s="278"/>
    </row>
    <row r="462" ht="15.75" customHeight="1">
      <c r="D462" s="158"/>
      <c r="G462" s="158"/>
      <c r="K462" s="276"/>
      <c r="N462" s="276"/>
      <c r="T462" s="277"/>
      <c r="Z462" s="278"/>
    </row>
    <row r="463" ht="15.75" customHeight="1">
      <c r="D463" s="158"/>
      <c r="G463" s="158"/>
      <c r="K463" s="276"/>
      <c r="N463" s="276"/>
      <c r="T463" s="277"/>
      <c r="Z463" s="278"/>
    </row>
    <row r="464" ht="15.75" customHeight="1">
      <c r="D464" s="158"/>
      <c r="G464" s="158"/>
      <c r="K464" s="276"/>
      <c r="N464" s="276"/>
      <c r="T464" s="277"/>
      <c r="Z464" s="278"/>
    </row>
    <row r="465" ht="15.75" customHeight="1">
      <c r="D465" s="158"/>
      <c r="G465" s="158"/>
      <c r="K465" s="276"/>
      <c r="N465" s="276"/>
      <c r="T465" s="277"/>
      <c r="Z465" s="278"/>
    </row>
    <row r="466" ht="15.75" customHeight="1">
      <c r="D466" s="158"/>
      <c r="G466" s="158"/>
      <c r="K466" s="276"/>
      <c r="N466" s="276"/>
      <c r="T466" s="277"/>
      <c r="Z466" s="278"/>
    </row>
    <row r="467" ht="15.75" customHeight="1">
      <c r="D467" s="158"/>
      <c r="G467" s="158"/>
      <c r="K467" s="276"/>
      <c r="N467" s="276"/>
      <c r="T467" s="277"/>
      <c r="Z467" s="278"/>
    </row>
    <row r="468" ht="15.75" customHeight="1">
      <c r="D468" s="158"/>
      <c r="G468" s="158"/>
      <c r="K468" s="276"/>
      <c r="N468" s="276"/>
      <c r="T468" s="277"/>
      <c r="Z468" s="278"/>
    </row>
    <row r="469" ht="15.75" customHeight="1">
      <c r="D469" s="158"/>
      <c r="G469" s="158"/>
      <c r="K469" s="276"/>
      <c r="N469" s="276"/>
      <c r="T469" s="277"/>
      <c r="Z469" s="278"/>
    </row>
    <row r="470" ht="15.75" customHeight="1">
      <c r="D470" s="158"/>
      <c r="G470" s="158"/>
      <c r="K470" s="276"/>
      <c r="N470" s="276"/>
      <c r="T470" s="277"/>
      <c r="Z470" s="278"/>
    </row>
    <row r="471" ht="15.75" customHeight="1">
      <c r="D471" s="158"/>
      <c r="G471" s="158"/>
      <c r="K471" s="276"/>
      <c r="N471" s="276"/>
      <c r="T471" s="277"/>
      <c r="Z471" s="278"/>
    </row>
    <row r="472" ht="15.75" customHeight="1">
      <c r="D472" s="158"/>
      <c r="G472" s="158"/>
      <c r="K472" s="276"/>
      <c r="N472" s="276"/>
      <c r="T472" s="277"/>
      <c r="Z472" s="278"/>
    </row>
    <row r="473" ht="15.75" customHeight="1">
      <c r="D473" s="158"/>
      <c r="G473" s="158"/>
      <c r="K473" s="276"/>
      <c r="N473" s="276"/>
      <c r="T473" s="277"/>
      <c r="Z473" s="278"/>
    </row>
    <row r="474" ht="15.75" customHeight="1">
      <c r="D474" s="158"/>
      <c r="G474" s="158"/>
      <c r="K474" s="276"/>
      <c r="N474" s="276"/>
      <c r="T474" s="277"/>
      <c r="Z474" s="278"/>
    </row>
    <row r="475" ht="15.75" customHeight="1">
      <c r="D475" s="158"/>
      <c r="G475" s="158"/>
      <c r="K475" s="276"/>
      <c r="N475" s="276"/>
      <c r="T475" s="277"/>
      <c r="Z475" s="278"/>
    </row>
    <row r="476" ht="15.75" customHeight="1">
      <c r="D476" s="158"/>
      <c r="G476" s="158"/>
      <c r="K476" s="276"/>
      <c r="N476" s="276"/>
      <c r="T476" s="277"/>
      <c r="Z476" s="278"/>
    </row>
    <row r="477" ht="15.75" customHeight="1">
      <c r="D477" s="158"/>
      <c r="G477" s="158"/>
      <c r="K477" s="276"/>
      <c r="N477" s="276"/>
      <c r="T477" s="277"/>
      <c r="Z477" s="278"/>
    </row>
    <row r="478" ht="15.75" customHeight="1">
      <c r="D478" s="158"/>
      <c r="G478" s="158"/>
      <c r="K478" s="276"/>
      <c r="N478" s="276"/>
      <c r="T478" s="277"/>
      <c r="Z478" s="278"/>
    </row>
    <row r="479" ht="15.75" customHeight="1">
      <c r="D479" s="158"/>
      <c r="G479" s="158"/>
      <c r="K479" s="276"/>
      <c r="N479" s="276"/>
      <c r="T479" s="277"/>
      <c r="Z479" s="278"/>
    </row>
    <row r="480" ht="15.75" customHeight="1">
      <c r="D480" s="158"/>
      <c r="G480" s="158"/>
      <c r="K480" s="276"/>
      <c r="N480" s="276"/>
      <c r="T480" s="277"/>
      <c r="Z480" s="278"/>
    </row>
    <row r="481" ht="15.75" customHeight="1">
      <c r="D481" s="158"/>
      <c r="G481" s="158"/>
      <c r="K481" s="276"/>
      <c r="N481" s="276"/>
      <c r="T481" s="277"/>
      <c r="Z481" s="278"/>
    </row>
    <row r="482" ht="15.75" customHeight="1">
      <c r="D482" s="158"/>
      <c r="G482" s="158"/>
      <c r="K482" s="276"/>
      <c r="N482" s="276"/>
      <c r="T482" s="277"/>
      <c r="Z482" s="278"/>
    </row>
    <row r="483" ht="15.75" customHeight="1">
      <c r="D483" s="158"/>
      <c r="G483" s="158"/>
      <c r="K483" s="276"/>
      <c r="N483" s="276"/>
      <c r="T483" s="277"/>
      <c r="Z483" s="278"/>
    </row>
    <row r="484" ht="15.75" customHeight="1">
      <c r="D484" s="158"/>
      <c r="G484" s="158"/>
      <c r="K484" s="276"/>
      <c r="N484" s="276"/>
      <c r="T484" s="277"/>
      <c r="Z484" s="278"/>
    </row>
    <row r="485" ht="15.75" customHeight="1">
      <c r="D485" s="158"/>
      <c r="G485" s="158"/>
      <c r="K485" s="276"/>
      <c r="N485" s="276"/>
      <c r="T485" s="277"/>
      <c r="Z485" s="278"/>
    </row>
    <row r="486" ht="15.75" customHeight="1">
      <c r="D486" s="158"/>
      <c r="G486" s="158"/>
      <c r="K486" s="276"/>
      <c r="N486" s="276"/>
      <c r="T486" s="277"/>
      <c r="Z486" s="278"/>
    </row>
    <row r="487" ht="15.75" customHeight="1">
      <c r="D487" s="158"/>
      <c r="G487" s="158"/>
      <c r="K487" s="276"/>
      <c r="N487" s="276"/>
      <c r="T487" s="277"/>
      <c r="Z487" s="278"/>
    </row>
    <row r="488" ht="15.75" customHeight="1">
      <c r="D488" s="158"/>
      <c r="G488" s="158"/>
      <c r="K488" s="276"/>
      <c r="N488" s="276"/>
      <c r="T488" s="277"/>
      <c r="Z488" s="278"/>
    </row>
    <row r="489" ht="15.75" customHeight="1">
      <c r="D489" s="158"/>
      <c r="G489" s="158"/>
      <c r="K489" s="276"/>
      <c r="N489" s="276"/>
      <c r="T489" s="277"/>
      <c r="Z489" s="278"/>
    </row>
    <row r="490" ht="15.75" customHeight="1">
      <c r="D490" s="158"/>
      <c r="G490" s="158"/>
      <c r="K490" s="276"/>
      <c r="N490" s="276"/>
      <c r="T490" s="277"/>
      <c r="Z490" s="278"/>
    </row>
    <row r="491" ht="15.75" customHeight="1">
      <c r="D491" s="158"/>
      <c r="G491" s="158"/>
      <c r="K491" s="276"/>
      <c r="N491" s="276"/>
      <c r="T491" s="277"/>
      <c r="Z491" s="278"/>
    </row>
    <row r="492" ht="15.75" customHeight="1">
      <c r="D492" s="158"/>
      <c r="G492" s="158"/>
      <c r="K492" s="276"/>
      <c r="N492" s="276"/>
      <c r="T492" s="277"/>
      <c r="Z492" s="278"/>
    </row>
    <row r="493" ht="15.75" customHeight="1">
      <c r="D493" s="158"/>
      <c r="G493" s="158"/>
      <c r="K493" s="276"/>
      <c r="N493" s="276"/>
      <c r="T493" s="277"/>
      <c r="Z493" s="278"/>
    </row>
    <row r="494" ht="15.75" customHeight="1">
      <c r="D494" s="158"/>
      <c r="G494" s="158"/>
      <c r="K494" s="276"/>
      <c r="N494" s="276"/>
      <c r="T494" s="277"/>
      <c r="Z494" s="278"/>
    </row>
    <row r="495" ht="15.75" customHeight="1">
      <c r="D495" s="158"/>
      <c r="G495" s="158"/>
      <c r="K495" s="276"/>
      <c r="N495" s="276"/>
      <c r="T495" s="277"/>
      <c r="Z495" s="278"/>
    </row>
    <row r="496" ht="15.75" customHeight="1">
      <c r="D496" s="158"/>
      <c r="G496" s="158"/>
      <c r="K496" s="276"/>
      <c r="N496" s="276"/>
      <c r="T496" s="277"/>
      <c r="Z496" s="278"/>
    </row>
    <row r="497" ht="15.75" customHeight="1">
      <c r="D497" s="158"/>
      <c r="G497" s="158"/>
      <c r="K497" s="276"/>
      <c r="N497" s="276"/>
      <c r="T497" s="277"/>
      <c r="Z497" s="278"/>
    </row>
    <row r="498" ht="15.75" customHeight="1">
      <c r="D498" s="158"/>
      <c r="G498" s="158"/>
      <c r="K498" s="276"/>
      <c r="N498" s="276"/>
      <c r="T498" s="277"/>
      <c r="Z498" s="278"/>
    </row>
    <row r="499" ht="15.75" customHeight="1">
      <c r="D499" s="158"/>
      <c r="G499" s="158"/>
      <c r="K499" s="276"/>
      <c r="N499" s="276"/>
      <c r="T499" s="277"/>
      <c r="Z499" s="278"/>
    </row>
    <row r="500" ht="15.75" customHeight="1">
      <c r="D500" s="158"/>
      <c r="G500" s="158"/>
      <c r="K500" s="276"/>
      <c r="N500" s="276"/>
      <c r="T500" s="277"/>
      <c r="Z500" s="278"/>
    </row>
    <row r="501" ht="15.75" customHeight="1">
      <c r="D501" s="158"/>
      <c r="G501" s="158"/>
      <c r="K501" s="276"/>
      <c r="N501" s="276"/>
      <c r="T501" s="277"/>
      <c r="Z501" s="278"/>
    </row>
    <row r="502" ht="15.75" customHeight="1">
      <c r="D502" s="158"/>
      <c r="G502" s="158"/>
      <c r="K502" s="276"/>
      <c r="N502" s="276"/>
      <c r="T502" s="277"/>
      <c r="Z502" s="278"/>
    </row>
    <row r="503" ht="15.75" customHeight="1">
      <c r="D503" s="158"/>
      <c r="G503" s="158"/>
      <c r="K503" s="276"/>
      <c r="N503" s="276"/>
      <c r="T503" s="277"/>
      <c r="Z503" s="278"/>
    </row>
    <row r="504" ht="15.75" customHeight="1">
      <c r="D504" s="158"/>
      <c r="G504" s="158"/>
      <c r="K504" s="276"/>
      <c r="N504" s="276"/>
      <c r="T504" s="277"/>
      <c r="Z504" s="278"/>
    </row>
    <row r="505" ht="15.75" customHeight="1">
      <c r="D505" s="158"/>
      <c r="G505" s="158"/>
      <c r="K505" s="276"/>
      <c r="N505" s="276"/>
      <c r="T505" s="277"/>
      <c r="Z505" s="278"/>
    </row>
    <row r="506" ht="15.75" customHeight="1">
      <c r="D506" s="158"/>
      <c r="G506" s="158"/>
      <c r="K506" s="276"/>
      <c r="N506" s="276"/>
      <c r="T506" s="277"/>
      <c r="Z506" s="278"/>
    </row>
    <row r="507" ht="15.75" customHeight="1">
      <c r="D507" s="158"/>
      <c r="G507" s="158"/>
      <c r="K507" s="276"/>
      <c r="N507" s="276"/>
      <c r="T507" s="277"/>
      <c r="Z507" s="278"/>
    </row>
    <row r="508" ht="15.75" customHeight="1">
      <c r="D508" s="158"/>
      <c r="G508" s="158"/>
      <c r="K508" s="276"/>
      <c r="N508" s="276"/>
      <c r="T508" s="277"/>
      <c r="Z508" s="278"/>
    </row>
    <row r="509" ht="15.75" customHeight="1">
      <c r="D509" s="158"/>
      <c r="G509" s="158"/>
      <c r="K509" s="276"/>
      <c r="N509" s="276"/>
      <c r="T509" s="277"/>
      <c r="Z509" s="278"/>
    </row>
    <row r="510" ht="15.75" customHeight="1">
      <c r="D510" s="158"/>
      <c r="G510" s="158"/>
      <c r="K510" s="276"/>
      <c r="N510" s="276"/>
      <c r="T510" s="277"/>
      <c r="Z510" s="278"/>
    </row>
    <row r="511" ht="15.75" customHeight="1">
      <c r="D511" s="158"/>
      <c r="G511" s="158"/>
      <c r="K511" s="276"/>
      <c r="N511" s="276"/>
      <c r="T511" s="277"/>
      <c r="Z511" s="278"/>
    </row>
    <row r="512" ht="15.75" customHeight="1">
      <c r="D512" s="158"/>
      <c r="G512" s="158"/>
      <c r="K512" s="276"/>
      <c r="N512" s="276"/>
      <c r="T512" s="277"/>
      <c r="Z512" s="278"/>
    </row>
    <row r="513" ht="15.75" customHeight="1">
      <c r="D513" s="158"/>
      <c r="G513" s="158"/>
      <c r="K513" s="276"/>
      <c r="N513" s="276"/>
      <c r="T513" s="277"/>
      <c r="Z513" s="278"/>
    </row>
    <row r="514" ht="15.75" customHeight="1">
      <c r="D514" s="158"/>
      <c r="G514" s="158"/>
      <c r="K514" s="276"/>
      <c r="N514" s="276"/>
      <c r="T514" s="277"/>
      <c r="Z514" s="278"/>
    </row>
    <row r="515" ht="15.75" customHeight="1">
      <c r="D515" s="158"/>
      <c r="G515" s="158"/>
      <c r="K515" s="276"/>
      <c r="N515" s="276"/>
      <c r="T515" s="277"/>
      <c r="Z515" s="278"/>
    </row>
    <row r="516" ht="15.75" customHeight="1">
      <c r="D516" s="158"/>
      <c r="G516" s="158"/>
      <c r="K516" s="276"/>
      <c r="N516" s="276"/>
      <c r="T516" s="277"/>
      <c r="Z516" s="278"/>
    </row>
    <row r="517" ht="15.75" customHeight="1">
      <c r="D517" s="158"/>
      <c r="G517" s="158"/>
      <c r="K517" s="276"/>
      <c r="N517" s="276"/>
      <c r="T517" s="277"/>
      <c r="Z517" s="278"/>
    </row>
    <row r="518" ht="15.75" customHeight="1">
      <c r="D518" s="158"/>
      <c r="G518" s="158"/>
      <c r="K518" s="276"/>
      <c r="N518" s="276"/>
      <c r="T518" s="277"/>
      <c r="Z518" s="278"/>
    </row>
    <row r="519" ht="15.75" customHeight="1">
      <c r="D519" s="158"/>
      <c r="G519" s="158"/>
      <c r="K519" s="276"/>
      <c r="N519" s="276"/>
      <c r="T519" s="277"/>
      <c r="Z519" s="278"/>
    </row>
    <row r="520" ht="15.75" customHeight="1">
      <c r="D520" s="158"/>
      <c r="G520" s="158"/>
      <c r="K520" s="276"/>
      <c r="N520" s="276"/>
      <c r="T520" s="277"/>
      <c r="Z520" s="278"/>
    </row>
    <row r="521" ht="15.75" customHeight="1">
      <c r="D521" s="158"/>
      <c r="G521" s="158"/>
      <c r="K521" s="276"/>
      <c r="N521" s="276"/>
      <c r="T521" s="277"/>
      <c r="Z521" s="278"/>
    </row>
    <row r="522" ht="15.75" customHeight="1">
      <c r="D522" s="158"/>
      <c r="G522" s="158"/>
      <c r="K522" s="276"/>
      <c r="N522" s="276"/>
      <c r="T522" s="277"/>
      <c r="Z522" s="278"/>
    </row>
    <row r="523" ht="15.75" customHeight="1">
      <c r="D523" s="158"/>
      <c r="G523" s="158"/>
      <c r="K523" s="276"/>
      <c r="N523" s="276"/>
      <c r="T523" s="277"/>
      <c r="Z523" s="278"/>
    </row>
    <row r="524" ht="15.75" customHeight="1">
      <c r="D524" s="158"/>
      <c r="G524" s="158"/>
      <c r="K524" s="276"/>
      <c r="N524" s="276"/>
      <c r="T524" s="277"/>
      <c r="Z524" s="278"/>
    </row>
    <row r="525" ht="15.75" customHeight="1">
      <c r="D525" s="158"/>
      <c r="G525" s="158"/>
      <c r="K525" s="276"/>
      <c r="N525" s="276"/>
      <c r="T525" s="277"/>
      <c r="Z525" s="278"/>
    </row>
    <row r="526" ht="15.75" customHeight="1">
      <c r="D526" s="158"/>
      <c r="G526" s="158"/>
      <c r="K526" s="276"/>
      <c r="N526" s="276"/>
      <c r="T526" s="277"/>
      <c r="Z526" s="278"/>
    </row>
    <row r="527" ht="15.75" customHeight="1">
      <c r="D527" s="158"/>
      <c r="G527" s="158"/>
      <c r="K527" s="276"/>
      <c r="N527" s="276"/>
      <c r="T527" s="277"/>
      <c r="Z527" s="278"/>
    </row>
    <row r="528" ht="15.75" customHeight="1">
      <c r="D528" s="158"/>
      <c r="G528" s="158"/>
      <c r="K528" s="276"/>
      <c r="N528" s="276"/>
      <c r="T528" s="277"/>
      <c r="Z528" s="278"/>
    </row>
    <row r="529" ht="15.75" customHeight="1">
      <c r="D529" s="158"/>
      <c r="G529" s="158"/>
      <c r="K529" s="276"/>
      <c r="N529" s="276"/>
      <c r="T529" s="277"/>
      <c r="Z529" s="278"/>
    </row>
    <row r="530" ht="15.75" customHeight="1">
      <c r="D530" s="158"/>
      <c r="G530" s="158"/>
      <c r="K530" s="276"/>
      <c r="N530" s="276"/>
      <c r="T530" s="277"/>
      <c r="Z530" s="278"/>
    </row>
    <row r="531" ht="15.75" customHeight="1">
      <c r="D531" s="158"/>
      <c r="G531" s="158"/>
      <c r="K531" s="276"/>
      <c r="N531" s="276"/>
      <c r="T531" s="277"/>
      <c r="Z531" s="278"/>
    </row>
    <row r="532" ht="15.75" customHeight="1">
      <c r="D532" s="158"/>
      <c r="G532" s="158"/>
      <c r="K532" s="276"/>
      <c r="N532" s="276"/>
      <c r="T532" s="277"/>
      <c r="Z532" s="278"/>
    </row>
    <row r="533" ht="15.75" customHeight="1">
      <c r="D533" s="158"/>
      <c r="G533" s="158"/>
      <c r="K533" s="276"/>
      <c r="N533" s="276"/>
      <c r="T533" s="277"/>
      <c r="Z533" s="278"/>
    </row>
    <row r="534" ht="15.75" customHeight="1">
      <c r="D534" s="158"/>
      <c r="G534" s="158"/>
      <c r="K534" s="276"/>
      <c r="N534" s="276"/>
      <c r="T534" s="277"/>
      <c r="Z534" s="278"/>
    </row>
    <row r="535" ht="15.75" customHeight="1">
      <c r="D535" s="158"/>
      <c r="G535" s="158"/>
      <c r="K535" s="276"/>
      <c r="N535" s="276"/>
      <c r="T535" s="277"/>
      <c r="Z535" s="278"/>
    </row>
    <row r="536" ht="15.75" customHeight="1">
      <c r="D536" s="158"/>
      <c r="G536" s="158"/>
      <c r="K536" s="276"/>
      <c r="N536" s="276"/>
      <c r="T536" s="277"/>
      <c r="Z536" s="278"/>
    </row>
    <row r="537" ht="15.75" customHeight="1">
      <c r="D537" s="158"/>
      <c r="G537" s="158"/>
      <c r="K537" s="276"/>
      <c r="N537" s="276"/>
      <c r="T537" s="277"/>
      <c r="Z537" s="278"/>
    </row>
    <row r="538" ht="15.75" customHeight="1">
      <c r="D538" s="158"/>
      <c r="G538" s="158"/>
      <c r="K538" s="276"/>
      <c r="N538" s="276"/>
      <c r="T538" s="277"/>
      <c r="Z538" s="278"/>
    </row>
    <row r="539" ht="15.75" customHeight="1">
      <c r="D539" s="158"/>
      <c r="G539" s="158"/>
      <c r="K539" s="276"/>
      <c r="N539" s="276"/>
      <c r="T539" s="277"/>
      <c r="Z539" s="278"/>
    </row>
    <row r="540" ht="15.75" customHeight="1">
      <c r="D540" s="158"/>
      <c r="G540" s="158"/>
      <c r="K540" s="276"/>
      <c r="N540" s="276"/>
      <c r="T540" s="277"/>
      <c r="Z540" s="278"/>
    </row>
    <row r="541" ht="15.75" customHeight="1">
      <c r="D541" s="158"/>
      <c r="G541" s="158"/>
      <c r="K541" s="276"/>
      <c r="N541" s="276"/>
      <c r="T541" s="277"/>
      <c r="Z541" s="278"/>
    </row>
    <row r="542" ht="15.75" customHeight="1">
      <c r="D542" s="158"/>
      <c r="G542" s="158"/>
      <c r="K542" s="276"/>
      <c r="N542" s="276"/>
      <c r="T542" s="277"/>
      <c r="Z542" s="278"/>
    </row>
    <row r="543" ht="15.75" customHeight="1">
      <c r="D543" s="158"/>
      <c r="G543" s="158"/>
      <c r="K543" s="276"/>
      <c r="N543" s="276"/>
      <c r="T543" s="277"/>
      <c r="Z543" s="278"/>
    </row>
    <row r="544" ht="15.75" customHeight="1">
      <c r="D544" s="158"/>
      <c r="G544" s="158"/>
      <c r="K544" s="276"/>
      <c r="N544" s="276"/>
      <c r="T544" s="277"/>
      <c r="Z544" s="278"/>
    </row>
    <row r="545" ht="15.75" customHeight="1">
      <c r="D545" s="158"/>
      <c r="G545" s="158"/>
      <c r="K545" s="276"/>
      <c r="N545" s="276"/>
      <c r="T545" s="277"/>
      <c r="Z545" s="278"/>
    </row>
    <row r="546" ht="15.75" customHeight="1">
      <c r="D546" s="158"/>
      <c r="G546" s="158"/>
      <c r="K546" s="276"/>
      <c r="N546" s="276"/>
      <c r="T546" s="277"/>
      <c r="Z546" s="278"/>
    </row>
    <row r="547" ht="15.75" customHeight="1">
      <c r="D547" s="158"/>
      <c r="G547" s="158"/>
      <c r="K547" s="276"/>
      <c r="N547" s="276"/>
      <c r="T547" s="277"/>
      <c r="Z547" s="278"/>
    </row>
    <row r="548" ht="15.75" customHeight="1">
      <c r="D548" s="158"/>
      <c r="G548" s="158"/>
      <c r="K548" s="276"/>
      <c r="N548" s="276"/>
      <c r="T548" s="277"/>
      <c r="Z548" s="278"/>
    </row>
    <row r="549" ht="15.75" customHeight="1">
      <c r="D549" s="158"/>
      <c r="G549" s="158"/>
      <c r="K549" s="276"/>
      <c r="N549" s="276"/>
      <c r="T549" s="277"/>
      <c r="Z549" s="278"/>
    </row>
    <row r="550" ht="15.75" customHeight="1">
      <c r="D550" s="158"/>
      <c r="G550" s="158"/>
      <c r="K550" s="276"/>
      <c r="N550" s="276"/>
      <c r="T550" s="277"/>
      <c r="Z550" s="278"/>
    </row>
    <row r="551" ht="15.75" customHeight="1">
      <c r="D551" s="158"/>
      <c r="G551" s="158"/>
      <c r="K551" s="276"/>
      <c r="N551" s="276"/>
      <c r="T551" s="277"/>
      <c r="Z551" s="278"/>
    </row>
    <row r="552" ht="15.75" customHeight="1">
      <c r="D552" s="158"/>
      <c r="G552" s="158"/>
      <c r="K552" s="276"/>
      <c r="N552" s="276"/>
      <c r="T552" s="277"/>
      <c r="Z552" s="278"/>
    </row>
    <row r="553" ht="15.75" customHeight="1">
      <c r="D553" s="158"/>
      <c r="G553" s="158"/>
      <c r="K553" s="276"/>
      <c r="N553" s="276"/>
      <c r="T553" s="277"/>
      <c r="Z553" s="278"/>
    </row>
    <row r="554" ht="15.75" customHeight="1">
      <c r="D554" s="158"/>
      <c r="G554" s="158"/>
      <c r="K554" s="276"/>
      <c r="N554" s="276"/>
      <c r="T554" s="277"/>
      <c r="Z554" s="278"/>
    </row>
    <row r="555" ht="15.75" customHeight="1">
      <c r="D555" s="158"/>
      <c r="G555" s="158"/>
      <c r="K555" s="276"/>
      <c r="N555" s="276"/>
      <c r="T555" s="277"/>
      <c r="Z555" s="278"/>
    </row>
    <row r="556" ht="15.75" customHeight="1">
      <c r="D556" s="158"/>
      <c r="G556" s="158"/>
      <c r="K556" s="276"/>
      <c r="N556" s="276"/>
      <c r="T556" s="277"/>
      <c r="Z556" s="278"/>
    </row>
    <row r="557" ht="15.75" customHeight="1">
      <c r="D557" s="158"/>
      <c r="G557" s="158"/>
      <c r="K557" s="276"/>
      <c r="N557" s="276"/>
      <c r="T557" s="277"/>
      <c r="Z557" s="278"/>
    </row>
    <row r="558" ht="15.75" customHeight="1">
      <c r="D558" s="158"/>
      <c r="G558" s="158"/>
      <c r="K558" s="276"/>
      <c r="N558" s="276"/>
      <c r="T558" s="277"/>
      <c r="Z558" s="278"/>
    </row>
    <row r="559" ht="15.75" customHeight="1">
      <c r="D559" s="158"/>
      <c r="G559" s="158"/>
      <c r="K559" s="276"/>
      <c r="N559" s="276"/>
      <c r="T559" s="277"/>
      <c r="Z559" s="278"/>
    </row>
    <row r="560" ht="15.75" customHeight="1">
      <c r="D560" s="158"/>
      <c r="G560" s="158"/>
      <c r="K560" s="276"/>
      <c r="N560" s="276"/>
      <c r="T560" s="277"/>
      <c r="Z560" s="278"/>
    </row>
    <row r="561" ht="15.75" customHeight="1">
      <c r="D561" s="158"/>
      <c r="G561" s="158"/>
      <c r="K561" s="276"/>
      <c r="N561" s="276"/>
      <c r="T561" s="277"/>
      <c r="Z561" s="278"/>
    </row>
    <row r="562" ht="15.75" customHeight="1">
      <c r="D562" s="158"/>
      <c r="G562" s="158"/>
      <c r="K562" s="276"/>
      <c r="N562" s="276"/>
      <c r="T562" s="277"/>
      <c r="Z562" s="278"/>
    </row>
    <row r="563" ht="15.75" customHeight="1">
      <c r="D563" s="158"/>
      <c r="G563" s="158"/>
      <c r="K563" s="276"/>
      <c r="N563" s="276"/>
      <c r="T563" s="277"/>
      <c r="Z563" s="278"/>
    </row>
    <row r="564" ht="15.75" customHeight="1">
      <c r="D564" s="158"/>
      <c r="G564" s="158"/>
      <c r="K564" s="276"/>
      <c r="N564" s="276"/>
      <c r="T564" s="277"/>
      <c r="Z564" s="278"/>
    </row>
    <row r="565" ht="15.75" customHeight="1">
      <c r="D565" s="158"/>
      <c r="G565" s="158"/>
      <c r="K565" s="276"/>
      <c r="N565" s="276"/>
      <c r="T565" s="277"/>
      <c r="Z565" s="278"/>
    </row>
    <row r="566" ht="15.75" customHeight="1">
      <c r="D566" s="158"/>
      <c r="G566" s="158"/>
      <c r="K566" s="276"/>
      <c r="N566" s="276"/>
      <c r="T566" s="277"/>
      <c r="Z566" s="278"/>
    </row>
    <row r="567" ht="15.75" customHeight="1">
      <c r="D567" s="158"/>
      <c r="G567" s="158"/>
      <c r="K567" s="276"/>
      <c r="N567" s="276"/>
      <c r="T567" s="277"/>
      <c r="Z567" s="278"/>
    </row>
    <row r="568" ht="15.75" customHeight="1">
      <c r="D568" s="158"/>
      <c r="G568" s="158"/>
      <c r="K568" s="276"/>
      <c r="N568" s="276"/>
      <c r="T568" s="277"/>
      <c r="Z568" s="278"/>
    </row>
    <row r="569" ht="15.75" customHeight="1">
      <c r="D569" s="158"/>
      <c r="G569" s="158"/>
      <c r="K569" s="276"/>
      <c r="N569" s="276"/>
      <c r="T569" s="277"/>
      <c r="Z569" s="278"/>
    </row>
    <row r="570" ht="15.75" customHeight="1">
      <c r="D570" s="158"/>
      <c r="G570" s="158"/>
      <c r="K570" s="276"/>
      <c r="N570" s="276"/>
      <c r="T570" s="277"/>
      <c r="Z570" s="278"/>
    </row>
    <row r="571" ht="15.75" customHeight="1">
      <c r="D571" s="158"/>
      <c r="G571" s="158"/>
      <c r="K571" s="276"/>
      <c r="N571" s="276"/>
      <c r="T571" s="277"/>
      <c r="Z571" s="278"/>
    </row>
    <row r="572" ht="15.75" customHeight="1">
      <c r="D572" s="158"/>
      <c r="G572" s="158"/>
      <c r="K572" s="276"/>
      <c r="N572" s="276"/>
      <c r="T572" s="277"/>
      <c r="Z572" s="278"/>
    </row>
    <row r="573" ht="15.75" customHeight="1">
      <c r="D573" s="158"/>
      <c r="G573" s="158"/>
      <c r="K573" s="276"/>
      <c r="N573" s="276"/>
      <c r="T573" s="277"/>
      <c r="Z573" s="278"/>
    </row>
    <row r="574" ht="15.75" customHeight="1">
      <c r="D574" s="158"/>
      <c r="G574" s="158"/>
      <c r="K574" s="276"/>
      <c r="N574" s="276"/>
      <c r="T574" s="277"/>
      <c r="Z574" s="278"/>
    </row>
    <row r="575" ht="15.75" customHeight="1">
      <c r="D575" s="158"/>
      <c r="G575" s="158"/>
      <c r="K575" s="276"/>
      <c r="N575" s="276"/>
      <c r="T575" s="277"/>
      <c r="Z575" s="278"/>
    </row>
    <row r="576" ht="15.75" customHeight="1">
      <c r="D576" s="158"/>
      <c r="G576" s="158"/>
      <c r="K576" s="276"/>
      <c r="N576" s="276"/>
      <c r="T576" s="277"/>
      <c r="Z576" s="278"/>
    </row>
    <row r="577" ht="15.75" customHeight="1">
      <c r="D577" s="158"/>
      <c r="G577" s="158"/>
      <c r="K577" s="276"/>
      <c r="N577" s="276"/>
      <c r="T577" s="277"/>
      <c r="Z577" s="278"/>
    </row>
    <row r="578" ht="15.75" customHeight="1">
      <c r="D578" s="158"/>
      <c r="G578" s="158"/>
      <c r="K578" s="276"/>
      <c r="N578" s="276"/>
      <c r="T578" s="277"/>
      <c r="Z578" s="278"/>
    </row>
    <row r="579" ht="15.75" customHeight="1">
      <c r="D579" s="158"/>
      <c r="G579" s="158"/>
      <c r="K579" s="276"/>
      <c r="N579" s="276"/>
      <c r="T579" s="277"/>
      <c r="Z579" s="278"/>
    </row>
    <row r="580" ht="15.75" customHeight="1">
      <c r="D580" s="158"/>
      <c r="G580" s="158"/>
      <c r="K580" s="276"/>
      <c r="N580" s="276"/>
      <c r="T580" s="277"/>
      <c r="Z580" s="278"/>
    </row>
    <row r="581" ht="15.75" customHeight="1">
      <c r="D581" s="158"/>
      <c r="G581" s="158"/>
      <c r="K581" s="276"/>
      <c r="N581" s="276"/>
      <c r="T581" s="277"/>
      <c r="Z581" s="278"/>
    </row>
    <row r="582" ht="15.75" customHeight="1">
      <c r="D582" s="158"/>
      <c r="G582" s="158"/>
      <c r="K582" s="276"/>
      <c r="N582" s="276"/>
      <c r="T582" s="277"/>
      <c r="Z582" s="278"/>
    </row>
    <row r="583" ht="15.75" customHeight="1">
      <c r="D583" s="158"/>
      <c r="G583" s="158"/>
      <c r="K583" s="276"/>
      <c r="N583" s="276"/>
      <c r="T583" s="277"/>
      <c r="Z583" s="278"/>
    </row>
    <row r="584" ht="15.75" customHeight="1">
      <c r="D584" s="158"/>
      <c r="G584" s="158"/>
      <c r="K584" s="276"/>
      <c r="N584" s="276"/>
      <c r="T584" s="277"/>
      <c r="Z584" s="278"/>
    </row>
    <row r="585" ht="15.75" customHeight="1">
      <c r="D585" s="158"/>
      <c r="G585" s="158"/>
      <c r="K585" s="276"/>
      <c r="N585" s="276"/>
      <c r="T585" s="277"/>
      <c r="Z585" s="278"/>
    </row>
    <row r="586" ht="15.75" customHeight="1">
      <c r="D586" s="158"/>
      <c r="G586" s="158"/>
      <c r="K586" s="276"/>
      <c r="N586" s="276"/>
      <c r="T586" s="277"/>
      <c r="Z586" s="278"/>
    </row>
    <row r="587" ht="15.75" customHeight="1">
      <c r="D587" s="158"/>
      <c r="G587" s="158"/>
      <c r="K587" s="276"/>
      <c r="N587" s="276"/>
      <c r="T587" s="277"/>
      <c r="Z587" s="278"/>
    </row>
    <row r="588" ht="15.75" customHeight="1">
      <c r="D588" s="158"/>
      <c r="G588" s="158"/>
      <c r="K588" s="276"/>
      <c r="N588" s="276"/>
      <c r="T588" s="277"/>
      <c r="Z588" s="278"/>
    </row>
    <row r="589" ht="15.75" customHeight="1">
      <c r="D589" s="158"/>
      <c r="G589" s="158"/>
      <c r="K589" s="276"/>
      <c r="N589" s="276"/>
      <c r="T589" s="277"/>
      <c r="Z589" s="278"/>
    </row>
    <row r="590" ht="15.75" customHeight="1">
      <c r="D590" s="158"/>
      <c r="G590" s="158"/>
      <c r="K590" s="276"/>
      <c r="N590" s="276"/>
      <c r="T590" s="277"/>
      <c r="Z590" s="278"/>
    </row>
    <row r="591" ht="15.75" customHeight="1">
      <c r="D591" s="158"/>
      <c r="G591" s="158"/>
      <c r="K591" s="276"/>
      <c r="N591" s="276"/>
      <c r="T591" s="277"/>
      <c r="Z591" s="278"/>
    </row>
    <row r="592" ht="15.75" customHeight="1">
      <c r="D592" s="158"/>
      <c r="G592" s="158"/>
      <c r="K592" s="276"/>
      <c r="N592" s="276"/>
      <c r="T592" s="277"/>
      <c r="Z592" s="278"/>
    </row>
    <row r="593" ht="15.75" customHeight="1">
      <c r="D593" s="158"/>
      <c r="G593" s="158"/>
      <c r="K593" s="276"/>
      <c r="N593" s="276"/>
      <c r="T593" s="277"/>
      <c r="Z593" s="278"/>
    </row>
    <row r="594" ht="15.75" customHeight="1">
      <c r="D594" s="158"/>
      <c r="G594" s="158"/>
      <c r="K594" s="276"/>
      <c r="N594" s="276"/>
      <c r="T594" s="277"/>
      <c r="Z594" s="278"/>
    </row>
    <row r="595" ht="15.75" customHeight="1">
      <c r="D595" s="158"/>
      <c r="G595" s="158"/>
      <c r="K595" s="276"/>
      <c r="N595" s="276"/>
      <c r="T595" s="277"/>
      <c r="Z595" s="278"/>
    </row>
    <row r="596" ht="15.75" customHeight="1">
      <c r="D596" s="158"/>
      <c r="G596" s="158"/>
      <c r="K596" s="276"/>
      <c r="N596" s="276"/>
      <c r="T596" s="277"/>
      <c r="Z596" s="278"/>
    </row>
    <row r="597" ht="15.75" customHeight="1">
      <c r="D597" s="158"/>
      <c r="G597" s="158"/>
      <c r="K597" s="276"/>
      <c r="N597" s="276"/>
      <c r="T597" s="277"/>
      <c r="Z597" s="278"/>
    </row>
    <row r="598" ht="15.75" customHeight="1">
      <c r="D598" s="158"/>
      <c r="G598" s="158"/>
      <c r="K598" s="276"/>
      <c r="N598" s="276"/>
      <c r="T598" s="277"/>
      <c r="Z598" s="278"/>
    </row>
    <row r="599" ht="15.75" customHeight="1">
      <c r="D599" s="158"/>
      <c r="G599" s="158"/>
      <c r="K599" s="276"/>
      <c r="N599" s="276"/>
      <c r="T599" s="277"/>
      <c r="Z599" s="278"/>
    </row>
    <row r="600" ht="15.75" customHeight="1">
      <c r="D600" s="158"/>
      <c r="G600" s="158"/>
      <c r="K600" s="276"/>
      <c r="N600" s="276"/>
      <c r="T600" s="277"/>
      <c r="Z600" s="278"/>
    </row>
    <row r="601" ht="15.75" customHeight="1">
      <c r="D601" s="158"/>
      <c r="G601" s="158"/>
      <c r="K601" s="276"/>
      <c r="N601" s="276"/>
      <c r="T601" s="277"/>
      <c r="Z601" s="278"/>
    </row>
    <row r="602" ht="15.75" customHeight="1">
      <c r="D602" s="158"/>
      <c r="G602" s="158"/>
      <c r="K602" s="276"/>
      <c r="N602" s="276"/>
      <c r="T602" s="277"/>
      <c r="Z602" s="278"/>
    </row>
    <row r="603" ht="15.75" customHeight="1">
      <c r="D603" s="158"/>
      <c r="G603" s="158"/>
      <c r="K603" s="276"/>
      <c r="N603" s="276"/>
      <c r="T603" s="277"/>
      <c r="Z603" s="278"/>
    </row>
    <row r="604" ht="15.75" customHeight="1">
      <c r="D604" s="158"/>
      <c r="G604" s="158"/>
      <c r="K604" s="276"/>
      <c r="N604" s="276"/>
      <c r="T604" s="277"/>
      <c r="Z604" s="278"/>
    </row>
    <row r="605" ht="15.75" customHeight="1">
      <c r="D605" s="158"/>
      <c r="G605" s="158"/>
      <c r="K605" s="276"/>
      <c r="N605" s="276"/>
      <c r="T605" s="277"/>
      <c r="Z605" s="278"/>
    </row>
    <row r="606" ht="15.75" customHeight="1">
      <c r="D606" s="158"/>
      <c r="G606" s="158"/>
      <c r="K606" s="276"/>
      <c r="N606" s="276"/>
      <c r="T606" s="277"/>
      <c r="Z606" s="278"/>
    </row>
    <row r="607" ht="15.75" customHeight="1">
      <c r="D607" s="158"/>
      <c r="G607" s="158"/>
      <c r="K607" s="276"/>
      <c r="N607" s="276"/>
      <c r="T607" s="277"/>
      <c r="Z607" s="278"/>
    </row>
    <row r="608" ht="15.75" customHeight="1">
      <c r="D608" s="158"/>
      <c r="G608" s="158"/>
      <c r="K608" s="276"/>
      <c r="N608" s="276"/>
      <c r="T608" s="277"/>
      <c r="Z608" s="278"/>
    </row>
    <row r="609" ht="15.75" customHeight="1">
      <c r="D609" s="158"/>
      <c r="G609" s="158"/>
      <c r="K609" s="276"/>
      <c r="N609" s="276"/>
      <c r="T609" s="277"/>
      <c r="Z609" s="278"/>
    </row>
    <row r="610" ht="15.75" customHeight="1">
      <c r="D610" s="158"/>
      <c r="G610" s="158"/>
      <c r="K610" s="276"/>
      <c r="N610" s="276"/>
      <c r="T610" s="277"/>
      <c r="Z610" s="278"/>
    </row>
    <row r="611" ht="15.75" customHeight="1">
      <c r="D611" s="158"/>
      <c r="G611" s="158"/>
      <c r="K611" s="276"/>
      <c r="N611" s="276"/>
      <c r="T611" s="277"/>
      <c r="Z611" s="278"/>
    </row>
    <row r="612" ht="15.75" customHeight="1">
      <c r="D612" s="158"/>
      <c r="G612" s="158"/>
      <c r="K612" s="276"/>
      <c r="N612" s="276"/>
      <c r="T612" s="277"/>
      <c r="Z612" s="278"/>
    </row>
    <row r="613" ht="15.75" customHeight="1">
      <c r="D613" s="158"/>
      <c r="G613" s="158"/>
      <c r="K613" s="276"/>
      <c r="N613" s="276"/>
      <c r="T613" s="277"/>
      <c r="Z613" s="278"/>
    </row>
    <row r="614" ht="15.75" customHeight="1">
      <c r="D614" s="158"/>
      <c r="G614" s="158"/>
      <c r="K614" s="276"/>
      <c r="N614" s="276"/>
      <c r="T614" s="277"/>
      <c r="Z614" s="278"/>
    </row>
    <row r="615" ht="15.75" customHeight="1">
      <c r="D615" s="158"/>
      <c r="G615" s="158"/>
      <c r="K615" s="276"/>
      <c r="N615" s="276"/>
      <c r="T615" s="277"/>
      <c r="Z615" s="278"/>
    </row>
    <row r="616" ht="15.75" customHeight="1">
      <c r="D616" s="158"/>
      <c r="G616" s="158"/>
      <c r="K616" s="276"/>
      <c r="N616" s="276"/>
      <c r="T616" s="277"/>
      <c r="Z616" s="278"/>
    </row>
    <row r="617" ht="15.75" customHeight="1">
      <c r="D617" s="158"/>
      <c r="G617" s="158"/>
      <c r="K617" s="276"/>
      <c r="N617" s="276"/>
      <c r="T617" s="277"/>
      <c r="Z617" s="278"/>
    </row>
    <row r="618" ht="15.75" customHeight="1">
      <c r="D618" s="158"/>
      <c r="G618" s="158"/>
      <c r="K618" s="276"/>
      <c r="N618" s="276"/>
      <c r="T618" s="277"/>
      <c r="Z618" s="278"/>
    </row>
    <row r="619" ht="15.75" customHeight="1">
      <c r="D619" s="158"/>
      <c r="G619" s="158"/>
      <c r="K619" s="276"/>
      <c r="N619" s="276"/>
      <c r="T619" s="277"/>
      <c r="Z619" s="278"/>
    </row>
    <row r="620" ht="15.75" customHeight="1">
      <c r="D620" s="158"/>
      <c r="G620" s="158"/>
      <c r="K620" s="276"/>
      <c r="N620" s="276"/>
      <c r="T620" s="277"/>
      <c r="Z620" s="278"/>
    </row>
    <row r="621" ht="15.75" customHeight="1">
      <c r="D621" s="158"/>
      <c r="G621" s="158"/>
      <c r="K621" s="276"/>
      <c r="N621" s="276"/>
      <c r="T621" s="277"/>
      <c r="Z621" s="278"/>
    </row>
    <row r="622" ht="15.75" customHeight="1">
      <c r="D622" s="158"/>
      <c r="G622" s="158"/>
      <c r="K622" s="276"/>
      <c r="N622" s="276"/>
      <c r="T622" s="277"/>
      <c r="Z622" s="278"/>
    </row>
    <row r="623" ht="15.75" customHeight="1">
      <c r="D623" s="158"/>
      <c r="G623" s="158"/>
      <c r="K623" s="276"/>
      <c r="N623" s="276"/>
      <c r="T623" s="277"/>
      <c r="Z623" s="278"/>
    </row>
    <row r="624" ht="15.75" customHeight="1">
      <c r="D624" s="158"/>
      <c r="G624" s="158"/>
      <c r="K624" s="276"/>
      <c r="N624" s="276"/>
      <c r="T624" s="277"/>
      <c r="Z624" s="278"/>
    </row>
    <row r="625" ht="15.75" customHeight="1">
      <c r="D625" s="158"/>
      <c r="G625" s="158"/>
      <c r="K625" s="276"/>
      <c r="N625" s="276"/>
      <c r="T625" s="277"/>
      <c r="Z625" s="278"/>
    </row>
    <row r="626" ht="15.75" customHeight="1">
      <c r="D626" s="158"/>
      <c r="G626" s="158"/>
      <c r="K626" s="276"/>
      <c r="N626" s="276"/>
      <c r="T626" s="277"/>
      <c r="Z626" s="278"/>
    </row>
    <row r="627" ht="15.75" customHeight="1">
      <c r="D627" s="158"/>
      <c r="G627" s="158"/>
      <c r="K627" s="276"/>
      <c r="N627" s="276"/>
      <c r="T627" s="277"/>
      <c r="Z627" s="278"/>
    </row>
    <row r="628" ht="15.75" customHeight="1">
      <c r="D628" s="158"/>
      <c r="G628" s="158"/>
      <c r="K628" s="276"/>
      <c r="N628" s="276"/>
      <c r="T628" s="277"/>
      <c r="Z628" s="278"/>
    </row>
    <row r="629" ht="15.75" customHeight="1">
      <c r="D629" s="158"/>
      <c r="G629" s="158"/>
      <c r="K629" s="276"/>
      <c r="N629" s="276"/>
      <c r="T629" s="277"/>
      <c r="Z629" s="278"/>
    </row>
    <row r="630" ht="15.75" customHeight="1">
      <c r="D630" s="158"/>
      <c r="G630" s="158"/>
      <c r="K630" s="276"/>
      <c r="N630" s="276"/>
      <c r="T630" s="277"/>
      <c r="Z630" s="278"/>
    </row>
    <row r="631" ht="15.75" customHeight="1">
      <c r="D631" s="158"/>
      <c r="G631" s="158"/>
      <c r="K631" s="276"/>
      <c r="N631" s="276"/>
      <c r="T631" s="277"/>
      <c r="Z631" s="278"/>
    </row>
    <row r="632" ht="15.75" customHeight="1">
      <c r="D632" s="158"/>
      <c r="G632" s="158"/>
      <c r="K632" s="276"/>
      <c r="N632" s="276"/>
      <c r="T632" s="277"/>
      <c r="Z632" s="278"/>
    </row>
    <row r="633" ht="15.75" customHeight="1">
      <c r="D633" s="158"/>
      <c r="G633" s="158"/>
      <c r="K633" s="276"/>
      <c r="N633" s="276"/>
      <c r="T633" s="277"/>
      <c r="Z633" s="278"/>
    </row>
    <row r="634" ht="15.75" customHeight="1">
      <c r="D634" s="158"/>
      <c r="G634" s="158"/>
      <c r="K634" s="276"/>
      <c r="N634" s="276"/>
      <c r="T634" s="277"/>
      <c r="Z634" s="278"/>
    </row>
    <row r="635" ht="15.75" customHeight="1">
      <c r="D635" s="158"/>
      <c r="G635" s="158"/>
      <c r="K635" s="276"/>
      <c r="N635" s="276"/>
      <c r="T635" s="277"/>
      <c r="Z635" s="278"/>
    </row>
    <row r="636" ht="15.75" customHeight="1">
      <c r="D636" s="158"/>
      <c r="G636" s="158"/>
      <c r="K636" s="276"/>
      <c r="N636" s="276"/>
      <c r="T636" s="277"/>
      <c r="Z636" s="278"/>
    </row>
    <row r="637" ht="15.75" customHeight="1">
      <c r="D637" s="158"/>
      <c r="G637" s="158"/>
      <c r="K637" s="276"/>
      <c r="N637" s="276"/>
      <c r="T637" s="277"/>
      <c r="Z637" s="278"/>
    </row>
    <row r="638" ht="15.75" customHeight="1">
      <c r="D638" s="158"/>
      <c r="G638" s="158"/>
      <c r="K638" s="276"/>
      <c r="N638" s="276"/>
      <c r="T638" s="277"/>
      <c r="Z638" s="278"/>
    </row>
    <row r="639" ht="15.75" customHeight="1">
      <c r="D639" s="158"/>
      <c r="G639" s="158"/>
      <c r="K639" s="276"/>
      <c r="N639" s="276"/>
      <c r="T639" s="277"/>
      <c r="Z639" s="278"/>
    </row>
    <row r="640" ht="15.75" customHeight="1">
      <c r="D640" s="158"/>
      <c r="G640" s="158"/>
      <c r="K640" s="276"/>
      <c r="N640" s="276"/>
      <c r="T640" s="277"/>
      <c r="Z640" s="278"/>
    </row>
    <row r="641" ht="15.75" customHeight="1">
      <c r="D641" s="158"/>
      <c r="G641" s="158"/>
      <c r="K641" s="276"/>
      <c r="N641" s="276"/>
      <c r="T641" s="277"/>
      <c r="Z641" s="278"/>
    </row>
    <row r="642" ht="15.75" customHeight="1">
      <c r="D642" s="158"/>
      <c r="G642" s="158"/>
      <c r="K642" s="276"/>
      <c r="N642" s="276"/>
      <c r="T642" s="277"/>
      <c r="Z642" s="278"/>
    </row>
    <row r="643" ht="15.75" customHeight="1">
      <c r="D643" s="158"/>
      <c r="G643" s="158"/>
      <c r="K643" s="276"/>
      <c r="N643" s="276"/>
      <c r="T643" s="277"/>
      <c r="Z643" s="278"/>
    </row>
    <row r="644" ht="15.75" customHeight="1">
      <c r="D644" s="158"/>
      <c r="G644" s="158"/>
      <c r="K644" s="276"/>
      <c r="N644" s="276"/>
      <c r="T644" s="277"/>
      <c r="Z644" s="278"/>
    </row>
    <row r="645" ht="15.75" customHeight="1">
      <c r="D645" s="158"/>
      <c r="G645" s="158"/>
      <c r="K645" s="276"/>
      <c r="N645" s="276"/>
      <c r="T645" s="277"/>
      <c r="Z645" s="278"/>
    </row>
    <row r="646" ht="15.75" customHeight="1">
      <c r="D646" s="158"/>
      <c r="G646" s="158"/>
      <c r="K646" s="276"/>
      <c r="N646" s="276"/>
      <c r="T646" s="277"/>
      <c r="Z646" s="278"/>
    </row>
    <row r="647" ht="15.75" customHeight="1">
      <c r="D647" s="158"/>
      <c r="G647" s="158"/>
      <c r="K647" s="276"/>
      <c r="N647" s="276"/>
      <c r="T647" s="277"/>
      <c r="Z647" s="278"/>
    </row>
    <row r="648" ht="15.75" customHeight="1">
      <c r="D648" s="158"/>
      <c r="G648" s="158"/>
      <c r="K648" s="276"/>
      <c r="N648" s="276"/>
      <c r="T648" s="277"/>
      <c r="Z648" s="278"/>
    </row>
    <row r="649" ht="15.75" customHeight="1">
      <c r="D649" s="158"/>
      <c r="G649" s="158"/>
      <c r="K649" s="276"/>
      <c r="N649" s="276"/>
      <c r="T649" s="277"/>
      <c r="Z649" s="278"/>
    </row>
    <row r="650" ht="15.75" customHeight="1">
      <c r="D650" s="158"/>
      <c r="G650" s="158"/>
      <c r="K650" s="276"/>
      <c r="N650" s="276"/>
      <c r="T650" s="277"/>
      <c r="Z650" s="278"/>
    </row>
    <row r="651" ht="15.75" customHeight="1">
      <c r="D651" s="158"/>
      <c r="G651" s="158"/>
      <c r="K651" s="276"/>
      <c r="N651" s="276"/>
      <c r="T651" s="277"/>
      <c r="Z651" s="278"/>
    </row>
    <row r="652" ht="15.75" customHeight="1">
      <c r="D652" s="158"/>
      <c r="G652" s="158"/>
      <c r="K652" s="276"/>
      <c r="N652" s="276"/>
      <c r="T652" s="277"/>
      <c r="Z652" s="278"/>
    </row>
    <row r="653" ht="15.75" customHeight="1">
      <c r="D653" s="158"/>
      <c r="G653" s="158"/>
      <c r="K653" s="276"/>
      <c r="N653" s="276"/>
      <c r="T653" s="277"/>
      <c r="Z653" s="278"/>
    </row>
    <row r="654" ht="15.75" customHeight="1">
      <c r="D654" s="158"/>
      <c r="G654" s="158"/>
      <c r="K654" s="276"/>
      <c r="N654" s="276"/>
      <c r="T654" s="277"/>
      <c r="Z654" s="278"/>
    </row>
    <row r="655" ht="15.75" customHeight="1">
      <c r="D655" s="158"/>
      <c r="G655" s="158"/>
      <c r="K655" s="276"/>
      <c r="N655" s="276"/>
      <c r="T655" s="277"/>
      <c r="Z655" s="278"/>
    </row>
    <row r="656" ht="15.75" customHeight="1">
      <c r="D656" s="158"/>
      <c r="G656" s="158"/>
      <c r="K656" s="276"/>
      <c r="N656" s="276"/>
      <c r="T656" s="277"/>
      <c r="Z656" s="278"/>
    </row>
    <row r="657" ht="15.75" customHeight="1">
      <c r="D657" s="158"/>
      <c r="G657" s="158"/>
      <c r="K657" s="276"/>
      <c r="N657" s="276"/>
      <c r="T657" s="277"/>
      <c r="Z657" s="278"/>
    </row>
    <row r="658" ht="15.75" customHeight="1">
      <c r="D658" s="158"/>
      <c r="G658" s="158"/>
      <c r="K658" s="276"/>
      <c r="N658" s="276"/>
      <c r="T658" s="277"/>
      <c r="Z658" s="278"/>
    </row>
    <row r="659" ht="15.75" customHeight="1">
      <c r="D659" s="158"/>
      <c r="G659" s="158"/>
      <c r="K659" s="276"/>
      <c r="N659" s="276"/>
      <c r="T659" s="277"/>
      <c r="Z659" s="278"/>
    </row>
    <row r="660" ht="15.75" customHeight="1">
      <c r="D660" s="158"/>
      <c r="G660" s="158"/>
      <c r="K660" s="276"/>
      <c r="N660" s="276"/>
      <c r="T660" s="277"/>
      <c r="Z660" s="278"/>
    </row>
    <row r="661" ht="15.75" customHeight="1">
      <c r="D661" s="158"/>
      <c r="G661" s="158"/>
      <c r="K661" s="276"/>
      <c r="N661" s="276"/>
      <c r="T661" s="277"/>
      <c r="Z661" s="278"/>
    </row>
    <row r="662" ht="15.75" customHeight="1">
      <c r="D662" s="158"/>
      <c r="G662" s="158"/>
      <c r="K662" s="276"/>
      <c r="N662" s="276"/>
      <c r="T662" s="277"/>
      <c r="Z662" s="278"/>
    </row>
    <row r="663" ht="15.75" customHeight="1">
      <c r="D663" s="158"/>
      <c r="G663" s="158"/>
      <c r="K663" s="276"/>
      <c r="N663" s="276"/>
      <c r="T663" s="277"/>
      <c r="Z663" s="278"/>
    </row>
    <row r="664" ht="15.75" customHeight="1">
      <c r="D664" s="158"/>
      <c r="G664" s="158"/>
      <c r="K664" s="276"/>
      <c r="N664" s="276"/>
      <c r="T664" s="277"/>
      <c r="Z664" s="278"/>
    </row>
    <row r="665" ht="15.75" customHeight="1">
      <c r="D665" s="158"/>
      <c r="G665" s="158"/>
      <c r="K665" s="276"/>
      <c r="N665" s="276"/>
      <c r="T665" s="277"/>
      <c r="Z665" s="278"/>
    </row>
    <row r="666" ht="15.75" customHeight="1">
      <c r="D666" s="158"/>
      <c r="G666" s="158"/>
      <c r="K666" s="276"/>
      <c r="N666" s="276"/>
      <c r="T666" s="277"/>
      <c r="Z666" s="278"/>
    </row>
    <row r="667" ht="15.75" customHeight="1">
      <c r="D667" s="158"/>
      <c r="G667" s="158"/>
      <c r="K667" s="276"/>
      <c r="N667" s="276"/>
      <c r="T667" s="277"/>
      <c r="Z667" s="278"/>
    </row>
    <row r="668" ht="15.75" customHeight="1">
      <c r="D668" s="158"/>
      <c r="G668" s="158"/>
      <c r="K668" s="276"/>
      <c r="N668" s="276"/>
      <c r="T668" s="277"/>
      <c r="Z668" s="278"/>
    </row>
    <row r="669" ht="15.75" customHeight="1">
      <c r="D669" s="158"/>
      <c r="G669" s="158"/>
      <c r="K669" s="276"/>
      <c r="N669" s="276"/>
      <c r="T669" s="277"/>
      <c r="Z669" s="278"/>
    </row>
    <row r="670" ht="15.75" customHeight="1">
      <c r="D670" s="158"/>
      <c r="G670" s="158"/>
      <c r="K670" s="276"/>
      <c r="N670" s="276"/>
      <c r="T670" s="277"/>
      <c r="Z670" s="278"/>
    </row>
    <row r="671" ht="15.75" customHeight="1">
      <c r="D671" s="158"/>
      <c r="G671" s="158"/>
      <c r="K671" s="276"/>
      <c r="N671" s="276"/>
      <c r="T671" s="277"/>
      <c r="Z671" s="278"/>
    </row>
    <row r="672" ht="15.75" customHeight="1">
      <c r="D672" s="158"/>
      <c r="G672" s="158"/>
      <c r="K672" s="276"/>
      <c r="N672" s="276"/>
      <c r="T672" s="277"/>
      <c r="Z672" s="278"/>
    </row>
    <row r="673" ht="15.75" customHeight="1">
      <c r="D673" s="158"/>
      <c r="G673" s="158"/>
      <c r="K673" s="276"/>
      <c r="N673" s="276"/>
      <c r="T673" s="277"/>
      <c r="Z673" s="278"/>
    </row>
    <row r="674" ht="15.75" customHeight="1">
      <c r="D674" s="158"/>
      <c r="G674" s="158"/>
      <c r="K674" s="276"/>
      <c r="N674" s="276"/>
      <c r="T674" s="277"/>
      <c r="Z674" s="278"/>
    </row>
    <row r="675" ht="15.75" customHeight="1">
      <c r="D675" s="158"/>
      <c r="G675" s="158"/>
      <c r="K675" s="276"/>
      <c r="N675" s="276"/>
      <c r="T675" s="277"/>
      <c r="Z675" s="278"/>
    </row>
    <row r="676" ht="15.75" customHeight="1">
      <c r="D676" s="158"/>
      <c r="G676" s="158"/>
      <c r="K676" s="276"/>
      <c r="N676" s="276"/>
      <c r="T676" s="277"/>
      <c r="Z676" s="278"/>
    </row>
    <row r="677" ht="15.75" customHeight="1">
      <c r="D677" s="158"/>
      <c r="G677" s="158"/>
      <c r="K677" s="276"/>
      <c r="N677" s="276"/>
      <c r="T677" s="277"/>
      <c r="Z677" s="278"/>
    </row>
    <row r="678" ht="15.75" customHeight="1">
      <c r="D678" s="158"/>
      <c r="G678" s="158"/>
      <c r="K678" s="276"/>
      <c r="N678" s="276"/>
      <c r="T678" s="277"/>
      <c r="Z678" s="278"/>
    </row>
    <row r="679" ht="15.75" customHeight="1">
      <c r="D679" s="158"/>
      <c r="G679" s="158"/>
      <c r="K679" s="276"/>
      <c r="N679" s="276"/>
      <c r="T679" s="277"/>
      <c r="Z679" s="278"/>
    </row>
    <row r="680" ht="15.75" customHeight="1">
      <c r="D680" s="158"/>
      <c r="G680" s="158"/>
      <c r="K680" s="276"/>
      <c r="N680" s="276"/>
      <c r="T680" s="277"/>
      <c r="Z680" s="278"/>
    </row>
    <row r="681" ht="15.75" customHeight="1">
      <c r="D681" s="158"/>
      <c r="G681" s="158"/>
      <c r="K681" s="276"/>
      <c r="N681" s="276"/>
      <c r="T681" s="277"/>
      <c r="Z681" s="278"/>
    </row>
    <row r="682" ht="15.75" customHeight="1">
      <c r="D682" s="158"/>
      <c r="G682" s="158"/>
      <c r="K682" s="276"/>
      <c r="N682" s="276"/>
      <c r="T682" s="277"/>
      <c r="Z682" s="278"/>
    </row>
    <row r="683" ht="15.75" customHeight="1">
      <c r="D683" s="158"/>
      <c r="G683" s="158"/>
      <c r="K683" s="276"/>
      <c r="N683" s="276"/>
      <c r="T683" s="277"/>
      <c r="Z683" s="278"/>
    </row>
    <row r="684" ht="15.75" customHeight="1">
      <c r="D684" s="158"/>
      <c r="G684" s="158"/>
      <c r="K684" s="276"/>
      <c r="N684" s="276"/>
      <c r="T684" s="277"/>
      <c r="Z684" s="278"/>
    </row>
    <row r="685" ht="15.75" customHeight="1">
      <c r="D685" s="158"/>
      <c r="G685" s="158"/>
      <c r="K685" s="276"/>
      <c r="N685" s="276"/>
      <c r="T685" s="277"/>
      <c r="Z685" s="278"/>
    </row>
    <row r="686" ht="15.75" customHeight="1">
      <c r="D686" s="158"/>
      <c r="G686" s="158"/>
      <c r="K686" s="276"/>
      <c r="N686" s="276"/>
      <c r="T686" s="277"/>
      <c r="Z686" s="278"/>
    </row>
    <row r="687" ht="15.75" customHeight="1">
      <c r="D687" s="158"/>
      <c r="G687" s="158"/>
      <c r="K687" s="276"/>
      <c r="N687" s="276"/>
      <c r="T687" s="277"/>
      <c r="Z687" s="278"/>
    </row>
    <row r="688" ht="15.75" customHeight="1">
      <c r="D688" s="158"/>
      <c r="G688" s="158"/>
      <c r="K688" s="276"/>
      <c r="N688" s="276"/>
      <c r="T688" s="277"/>
      <c r="Z688" s="278"/>
    </row>
    <row r="689" ht="15.75" customHeight="1">
      <c r="D689" s="158"/>
      <c r="G689" s="158"/>
      <c r="K689" s="276"/>
      <c r="N689" s="276"/>
      <c r="T689" s="277"/>
      <c r="Z689" s="278"/>
    </row>
    <row r="690" ht="15.75" customHeight="1">
      <c r="D690" s="158"/>
      <c r="G690" s="158"/>
      <c r="K690" s="276"/>
      <c r="N690" s="276"/>
      <c r="T690" s="277"/>
      <c r="Z690" s="278"/>
    </row>
    <row r="691" ht="15.75" customHeight="1">
      <c r="D691" s="158"/>
      <c r="G691" s="158"/>
      <c r="K691" s="276"/>
      <c r="N691" s="276"/>
      <c r="T691" s="277"/>
      <c r="Z691" s="278"/>
    </row>
    <row r="692" ht="15.75" customHeight="1">
      <c r="D692" s="158"/>
      <c r="G692" s="158"/>
      <c r="K692" s="276"/>
      <c r="N692" s="276"/>
      <c r="T692" s="277"/>
      <c r="Z692" s="278"/>
    </row>
    <row r="693" ht="15.75" customHeight="1">
      <c r="D693" s="158"/>
      <c r="G693" s="158"/>
      <c r="K693" s="276"/>
      <c r="N693" s="276"/>
      <c r="T693" s="277"/>
      <c r="Z693" s="278"/>
    </row>
    <row r="694" ht="15.75" customHeight="1">
      <c r="D694" s="158"/>
      <c r="G694" s="158"/>
      <c r="K694" s="276"/>
      <c r="N694" s="276"/>
      <c r="T694" s="277"/>
      <c r="Z694" s="278"/>
    </row>
    <row r="695" ht="15.75" customHeight="1">
      <c r="D695" s="158"/>
      <c r="G695" s="158"/>
      <c r="K695" s="276"/>
      <c r="N695" s="276"/>
      <c r="T695" s="277"/>
      <c r="Z695" s="278"/>
    </row>
    <row r="696" ht="15.75" customHeight="1">
      <c r="D696" s="158"/>
      <c r="G696" s="158"/>
      <c r="K696" s="276"/>
      <c r="N696" s="276"/>
      <c r="T696" s="277"/>
      <c r="Z696" s="278"/>
    </row>
    <row r="697" ht="15.75" customHeight="1">
      <c r="D697" s="158"/>
      <c r="G697" s="158"/>
      <c r="K697" s="276"/>
      <c r="N697" s="276"/>
      <c r="T697" s="277"/>
      <c r="Z697" s="278"/>
    </row>
    <row r="698" ht="15.75" customHeight="1">
      <c r="D698" s="158"/>
      <c r="G698" s="158"/>
      <c r="K698" s="276"/>
      <c r="N698" s="276"/>
      <c r="T698" s="277"/>
      <c r="Z698" s="278"/>
    </row>
    <row r="699" ht="15.75" customHeight="1">
      <c r="D699" s="158"/>
      <c r="G699" s="158"/>
      <c r="K699" s="276"/>
      <c r="N699" s="276"/>
      <c r="T699" s="277"/>
      <c r="Z699" s="278"/>
    </row>
    <row r="700" ht="15.75" customHeight="1">
      <c r="D700" s="158"/>
      <c r="G700" s="158"/>
      <c r="K700" s="276"/>
      <c r="N700" s="276"/>
      <c r="T700" s="277"/>
      <c r="Z700" s="278"/>
    </row>
    <row r="701" ht="15.75" customHeight="1">
      <c r="D701" s="158"/>
      <c r="G701" s="158"/>
      <c r="K701" s="276"/>
      <c r="N701" s="276"/>
      <c r="T701" s="277"/>
      <c r="Z701" s="278"/>
    </row>
    <row r="702" ht="15.75" customHeight="1">
      <c r="D702" s="158"/>
      <c r="G702" s="158"/>
      <c r="K702" s="276"/>
      <c r="N702" s="276"/>
      <c r="T702" s="277"/>
      <c r="Z702" s="278"/>
    </row>
    <row r="703" ht="15.75" customHeight="1">
      <c r="D703" s="158"/>
      <c r="G703" s="158"/>
      <c r="K703" s="276"/>
      <c r="N703" s="276"/>
      <c r="T703" s="277"/>
      <c r="Z703" s="278"/>
    </row>
    <row r="704" ht="15.75" customHeight="1">
      <c r="D704" s="158"/>
      <c r="G704" s="158"/>
      <c r="K704" s="276"/>
      <c r="N704" s="276"/>
      <c r="T704" s="277"/>
      <c r="Z704" s="278"/>
    </row>
    <row r="705" ht="15.75" customHeight="1">
      <c r="D705" s="158"/>
      <c r="G705" s="158"/>
      <c r="K705" s="276"/>
      <c r="N705" s="276"/>
      <c r="T705" s="277"/>
      <c r="Z705" s="278"/>
    </row>
    <row r="706" ht="15.75" customHeight="1">
      <c r="D706" s="158"/>
      <c r="G706" s="158"/>
      <c r="K706" s="276"/>
      <c r="N706" s="276"/>
      <c r="T706" s="277"/>
      <c r="Z706" s="278"/>
    </row>
    <row r="707" ht="15.75" customHeight="1">
      <c r="D707" s="158"/>
      <c r="G707" s="158"/>
      <c r="K707" s="276"/>
      <c r="N707" s="276"/>
      <c r="T707" s="277"/>
      <c r="Z707" s="278"/>
    </row>
    <row r="708" ht="15.75" customHeight="1">
      <c r="D708" s="158"/>
      <c r="G708" s="158"/>
      <c r="K708" s="276"/>
      <c r="N708" s="276"/>
      <c r="T708" s="277"/>
      <c r="Z708" s="278"/>
    </row>
    <row r="709" ht="15.75" customHeight="1">
      <c r="D709" s="158"/>
      <c r="G709" s="158"/>
      <c r="K709" s="276"/>
      <c r="N709" s="276"/>
      <c r="T709" s="277"/>
      <c r="Z709" s="278"/>
    </row>
    <row r="710" ht="15.75" customHeight="1">
      <c r="D710" s="158"/>
      <c r="G710" s="158"/>
      <c r="K710" s="276"/>
      <c r="N710" s="276"/>
      <c r="T710" s="277"/>
      <c r="Z710" s="278"/>
    </row>
    <row r="711" ht="15.75" customHeight="1">
      <c r="D711" s="158"/>
      <c r="G711" s="158"/>
      <c r="K711" s="276"/>
      <c r="N711" s="276"/>
      <c r="T711" s="277"/>
      <c r="Z711" s="278"/>
    </row>
    <row r="712" ht="15.75" customHeight="1">
      <c r="D712" s="158"/>
      <c r="G712" s="158"/>
      <c r="K712" s="276"/>
      <c r="N712" s="276"/>
      <c r="T712" s="277"/>
      <c r="Z712" s="278"/>
    </row>
    <row r="713" ht="15.75" customHeight="1">
      <c r="D713" s="158"/>
      <c r="G713" s="158"/>
      <c r="K713" s="276"/>
      <c r="N713" s="276"/>
      <c r="T713" s="277"/>
      <c r="Z713" s="278"/>
    </row>
    <row r="714" ht="15.75" customHeight="1">
      <c r="D714" s="158"/>
      <c r="G714" s="158"/>
      <c r="K714" s="276"/>
      <c r="N714" s="276"/>
      <c r="T714" s="277"/>
      <c r="Z714" s="278"/>
    </row>
    <row r="715" ht="15.75" customHeight="1">
      <c r="D715" s="158"/>
      <c r="G715" s="158"/>
      <c r="K715" s="276"/>
      <c r="N715" s="276"/>
      <c r="T715" s="277"/>
      <c r="Z715" s="278"/>
    </row>
    <row r="716" ht="15.75" customHeight="1">
      <c r="D716" s="158"/>
      <c r="G716" s="158"/>
      <c r="K716" s="276"/>
      <c r="N716" s="276"/>
      <c r="T716" s="277"/>
      <c r="Z716" s="278"/>
    </row>
    <row r="717" ht="15.75" customHeight="1">
      <c r="D717" s="158"/>
      <c r="G717" s="158"/>
      <c r="K717" s="276"/>
      <c r="N717" s="276"/>
      <c r="T717" s="277"/>
      <c r="Z717" s="278"/>
    </row>
    <row r="718" ht="15.75" customHeight="1">
      <c r="D718" s="158"/>
      <c r="G718" s="158"/>
      <c r="K718" s="276"/>
      <c r="N718" s="276"/>
      <c r="T718" s="277"/>
      <c r="Z718" s="278"/>
    </row>
    <row r="719" ht="15.75" customHeight="1">
      <c r="D719" s="158"/>
      <c r="G719" s="158"/>
      <c r="K719" s="276"/>
      <c r="N719" s="276"/>
      <c r="T719" s="277"/>
      <c r="Z719" s="278"/>
    </row>
    <row r="720" ht="15.75" customHeight="1">
      <c r="D720" s="158"/>
      <c r="G720" s="158"/>
      <c r="K720" s="276"/>
      <c r="N720" s="276"/>
      <c r="T720" s="277"/>
      <c r="Z720" s="278"/>
    </row>
    <row r="721" ht="15.75" customHeight="1">
      <c r="D721" s="158"/>
      <c r="G721" s="158"/>
      <c r="K721" s="276"/>
      <c r="N721" s="276"/>
      <c r="T721" s="277"/>
      <c r="Z721" s="278"/>
    </row>
    <row r="722" ht="15.75" customHeight="1">
      <c r="D722" s="158"/>
      <c r="G722" s="158"/>
      <c r="K722" s="276"/>
      <c r="N722" s="276"/>
      <c r="T722" s="277"/>
      <c r="Z722" s="278"/>
    </row>
    <row r="723" ht="15.75" customHeight="1">
      <c r="D723" s="158"/>
      <c r="G723" s="158"/>
      <c r="K723" s="276"/>
      <c r="N723" s="276"/>
      <c r="T723" s="277"/>
      <c r="Z723" s="278"/>
    </row>
    <row r="724" ht="15.75" customHeight="1">
      <c r="D724" s="158"/>
      <c r="G724" s="158"/>
      <c r="K724" s="276"/>
      <c r="N724" s="276"/>
      <c r="T724" s="277"/>
      <c r="Z724" s="278"/>
    </row>
    <row r="725" ht="15.75" customHeight="1">
      <c r="D725" s="158"/>
      <c r="G725" s="158"/>
      <c r="K725" s="276"/>
      <c r="N725" s="276"/>
      <c r="T725" s="277"/>
      <c r="Z725" s="278"/>
    </row>
    <row r="726" ht="15.75" customHeight="1">
      <c r="D726" s="158"/>
      <c r="G726" s="158"/>
      <c r="K726" s="276"/>
      <c r="N726" s="276"/>
      <c r="T726" s="277"/>
      <c r="Z726" s="278"/>
    </row>
    <row r="727" ht="15.75" customHeight="1">
      <c r="D727" s="158"/>
      <c r="G727" s="158"/>
      <c r="K727" s="276"/>
      <c r="N727" s="276"/>
      <c r="T727" s="277"/>
      <c r="Z727" s="278"/>
    </row>
    <row r="728" ht="15.75" customHeight="1">
      <c r="D728" s="158"/>
      <c r="G728" s="158"/>
      <c r="K728" s="276"/>
      <c r="N728" s="276"/>
      <c r="T728" s="277"/>
      <c r="Z728" s="278"/>
    </row>
    <row r="729" ht="15.75" customHeight="1">
      <c r="D729" s="158"/>
      <c r="G729" s="158"/>
      <c r="K729" s="276"/>
      <c r="N729" s="276"/>
      <c r="T729" s="277"/>
      <c r="Z729" s="278"/>
    </row>
    <row r="730" ht="15.75" customHeight="1">
      <c r="D730" s="158"/>
      <c r="G730" s="158"/>
      <c r="K730" s="276"/>
      <c r="N730" s="276"/>
      <c r="T730" s="277"/>
      <c r="Z730" s="278"/>
    </row>
    <row r="731" ht="15.75" customHeight="1">
      <c r="D731" s="158"/>
      <c r="G731" s="158"/>
      <c r="K731" s="276"/>
      <c r="N731" s="276"/>
      <c r="T731" s="277"/>
      <c r="Z731" s="278"/>
    </row>
    <row r="732" ht="15.75" customHeight="1">
      <c r="D732" s="158"/>
      <c r="G732" s="158"/>
      <c r="K732" s="276"/>
      <c r="N732" s="276"/>
      <c r="T732" s="277"/>
      <c r="Z732" s="278"/>
    </row>
    <row r="733" ht="15.75" customHeight="1">
      <c r="D733" s="158"/>
      <c r="G733" s="158"/>
      <c r="K733" s="276"/>
      <c r="N733" s="276"/>
      <c r="T733" s="277"/>
      <c r="Z733" s="278"/>
    </row>
    <row r="734" ht="15.75" customHeight="1">
      <c r="D734" s="158"/>
      <c r="G734" s="158"/>
      <c r="K734" s="276"/>
      <c r="N734" s="276"/>
      <c r="T734" s="277"/>
      <c r="Z734" s="278"/>
    </row>
    <row r="735" ht="15.75" customHeight="1">
      <c r="D735" s="158"/>
      <c r="G735" s="158"/>
      <c r="K735" s="276"/>
      <c r="N735" s="276"/>
      <c r="T735" s="277"/>
      <c r="Z735" s="278"/>
    </row>
    <row r="736" ht="15.75" customHeight="1">
      <c r="D736" s="158"/>
      <c r="G736" s="158"/>
      <c r="K736" s="276"/>
      <c r="N736" s="276"/>
      <c r="T736" s="277"/>
      <c r="Z736" s="278"/>
    </row>
    <row r="737" ht="15.75" customHeight="1">
      <c r="D737" s="158"/>
      <c r="G737" s="158"/>
      <c r="K737" s="276"/>
      <c r="N737" s="276"/>
      <c r="T737" s="277"/>
      <c r="Z737" s="278"/>
    </row>
    <row r="738" ht="15.75" customHeight="1">
      <c r="D738" s="158"/>
      <c r="G738" s="158"/>
      <c r="K738" s="276"/>
      <c r="N738" s="276"/>
      <c r="T738" s="277"/>
      <c r="Z738" s="278"/>
    </row>
    <row r="739" ht="15.75" customHeight="1">
      <c r="D739" s="158"/>
      <c r="G739" s="158"/>
      <c r="K739" s="276"/>
      <c r="N739" s="276"/>
      <c r="T739" s="277"/>
      <c r="Z739" s="278"/>
    </row>
    <row r="740" ht="15.75" customHeight="1">
      <c r="D740" s="158"/>
      <c r="G740" s="158"/>
      <c r="K740" s="276"/>
      <c r="N740" s="276"/>
      <c r="T740" s="277"/>
      <c r="Z740" s="278"/>
    </row>
    <row r="741" ht="15.75" customHeight="1">
      <c r="D741" s="158"/>
      <c r="G741" s="158"/>
      <c r="K741" s="276"/>
      <c r="N741" s="276"/>
      <c r="T741" s="277"/>
      <c r="Z741" s="278"/>
    </row>
    <row r="742" ht="15.75" customHeight="1">
      <c r="D742" s="158"/>
      <c r="G742" s="158"/>
      <c r="K742" s="276"/>
      <c r="N742" s="276"/>
      <c r="T742" s="277"/>
      <c r="Z742" s="278"/>
    </row>
    <row r="743" ht="15.75" customHeight="1">
      <c r="D743" s="158"/>
      <c r="G743" s="158"/>
      <c r="K743" s="276"/>
      <c r="N743" s="276"/>
      <c r="T743" s="277"/>
      <c r="Z743" s="278"/>
    </row>
    <row r="744" ht="15.75" customHeight="1">
      <c r="D744" s="158"/>
      <c r="G744" s="158"/>
      <c r="K744" s="276"/>
      <c r="N744" s="276"/>
      <c r="T744" s="277"/>
      <c r="Z744" s="278"/>
    </row>
    <row r="745" ht="15.75" customHeight="1">
      <c r="D745" s="158"/>
      <c r="G745" s="158"/>
      <c r="K745" s="276"/>
      <c r="N745" s="276"/>
      <c r="T745" s="277"/>
      <c r="Z745" s="278"/>
    </row>
    <row r="746" ht="15.75" customHeight="1">
      <c r="D746" s="158"/>
      <c r="G746" s="158"/>
      <c r="K746" s="276"/>
      <c r="N746" s="276"/>
      <c r="T746" s="277"/>
      <c r="Z746" s="278"/>
    </row>
    <row r="747" ht="15.75" customHeight="1">
      <c r="D747" s="158"/>
      <c r="G747" s="158"/>
      <c r="K747" s="276"/>
      <c r="N747" s="276"/>
      <c r="T747" s="277"/>
      <c r="Z747" s="278"/>
    </row>
    <row r="748" ht="15.75" customHeight="1">
      <c r="D748" s="158"/>
      <c r="G748" s="158"/>
      <c r="K748" s="276"/>
      <c r="N748" s="276"/>
      <c r="T748" s="277"/>
      <c r="Z748" s="278"/>
    </row>
    <row r="749" ht="15.75" customHeight="1">
      <c r="D749" s="158"/>
      <c r="G749" s="158"/>
      <c r="K749" s="276"/>
      <c r="N749" s="276"/>
      <c r="T749" s="277"/>
      <c r="Z749" s="278"/>
    </row>
    <row r="750" ht="15.75" customHeight="1">
      <c r="D750" s="158"/>
      <c r="G750" s="158"/>
      <c r="K750" s="276"/>
      <c r="N750" s="276"/>
      <c r="T750" s="277"/>
      <c r="Z750" s="278"/>
    </row>
    <row r="751" ht="15.75" customHeight="1">
      <c r="D751" s="158"/>
      <c r="G751" s="158"/>
      <c r="K751" s="276"/>
      <c r="N751" s="276"/>
      <c r="T751" s="277"/>
      <c r="Z751" s="278"/>
    </row>
    <row r="752" ht="15.75" customHeight="1">
      <c r="D752" s="158"/>
      <c r="G752" s="158"/>
      <c r="K752" s="276"/>
      <c r="N752" s="276"/>
      <c r="T752" s="277"/>
      <c r="Z752" s="278"/>
    </row>
    <row r="753" ht="15.75" customHeight="1">
      <c r="D753" s="158"/>
      <c r="G753" s="158"/>
      <c r="K753" s="276"/>
      <c r="N753" s="276"/>
      <c r="T753" s="277"/>
      <c r="Z753" s="278"/>
    </row>
    <row r="754" ht="15.75" customHeight="1">
      <c r="D754" s="158"/>
      <c r="G754" s="158"/>
      <c r="K754" s="276"/>
      <c r="N754" s="276"/>
      <c r="T754" s="277"/>
      <c r="Z754" s="278"/>
    </row>
    <row r="755" ht="15.75" customHeight="1">
      <c r="D755" s="158"/>
      <c r="G755" s="158"/>
      <c r="K755" s="276"/>
      <c r="N755" s="276"/>
      <c r="T755" s="277"/>
      <c r="Z755" s="278"/>
    </row>
    <row r="756" ht="15.75" customHeight="1">
      <c r="D756" s="158"/>
      <c r="G756" s="158"/>
      <c r="K756" s="276"/>
      <c r="N756" s="276"/>
      <c r="T756" s="277"/>
      <c r="Z756" s="278"/>
    </row>
    <row r="757" ht="15.75" customHeight="1">
      <c r="D757" s="158"/>
      <c r="G757" s="158"/>
      <c r="K757" s="276"/>
      <c r="N757" s="276"/>
      <c r="T757" s="277"/>
      <c r="Z757" s="278"/>
    </row>
    <row r="758" ht="15.75" customHeight="1">
      <c r="D758" s="158"/>
      <c r="G758" s="158"/>
      <c r="K758" s="276"/>
      <c r="N758" s="276"/>
      <c r="T758" s="277"/>
      <c r="Z758" s="278"/>
    </row>
    <row r="759" ht="15.75" customHeight="1">
      <c r="D759" s="158"/>
      <c r="G759" s="158"/>
      <c r="K759" s="276"/>
      <c r="N759" s="276"/>
      <c r="T759" s="277"/>
      <c r="Z759" s="278"/>
    </row>
    <row r="760" ht="15.75" customHeight="1">
      <c r="D760" s="158"/>
      <c r="G760" s="158"/>
      <c r="K760" s="276"/>
      <c r="N760" s="276"/>
      <c r="T760" s="277"/>
      <c r="Z760" s="278"/>
    </row>
    <row r="761" ht="15.75" customHeight="1">
      <c r="D761" s="158"/>
      <c r="G761" s="158"/>
      <c r="K761" s="276"/>
      <c r="N761" s="276"/>
      <c r="T761" s="277"/>
      <c r="Z761" s="278"/>
    </row>
    <row r="762" ht="15.75" customHeight="1">
      <c r="D762" s="158"/>
      <c r="G762" s="158"/>
      <c r="K762" s="276"/>
      <c r="N762" s="276"/>
      <c r="T762" s="277"/>
      <c r="Z762" s="278"/>
    </row>
    <row r="763" ht="15.75" customHeight="1">
      <c r="D763" s="158"/>
      <c r="G763" s="158"/>
      <c r="K763" s="276"/>
      <c r="N763" s="276"/>
      <c r="T763" s="277"/>
      <c r="Z763" s="278"/>
    </row>
    <row r="764" ht="15.75" customHeight="1">
      <c r="D764" s="158"/>
      <c r="G764" s="158"/>
      <c r="K764" s="276"/>
      <c r="N764" s="276"/>
      <c r="T764" s="277"/>
      <c r="Z764" s="278"/>
    </row>
    <row r="765" ht="15.75" customHeight="1">
      <c r="D765" s="158"/>
      <c r="G765" s="158"/>
      <c r="K765" s="276"/>
      <c r="N765" s="276"/>
      <c r="T765" s="277"/>
      <c r="Z765" s="278"/>
    </row>
    <row r="766" ht="15.75" customHeight="1">
      <c r="D766" s="158"/>
      <c r="G766" s="158"/>
      <c r="K766" s="276"/>
      <c r="N766" s="276"/>
      <c r="T766" s="277"/>
      <c r="Z766" s="278"/>
    </row>
    <row r="767" ht="15.75" customHeight="1">
      <c r="D767" s="158"/>
      <c r="G767" s="158"/>
      <c r="K767" s="276"/>
      <c r="N767" s="276"/>
      <c r="T767" s="277"/>
      <c r="Z767" s="278"/>
    </row>
    <row r="768" ht="15.75" customHeight="1">
      <c r="D768" s="158"/>
      <c r="G768" s="158"/>
      <c r="K768" s="276"/>
      <c r="N768" s="276"/>
      <c r="T768" s="277"/>
      <c r="Z768" s="278"/>
    </row>
    <row r="769" ht="15.75" customHeight="1">
      <c r="D769" s="158"/>
      <c r="G769" s="158"/>
      <c r="K769" s="276"/>
      <c r="N769" s="276"/>
      <c r="T769" s="277"/>
      <c r="Z769" s="278"/>
    </row>
    <row r="770" ht="15.75" customHeight="1">
      <c r="D770" s="158"/>
      <c r="G770" s="158"/>
      <c r="K770" s="276"/>
      <c r="N770" s="276"/>
      <c r="T770" s="277"/>
      <c r="Z770" s="278"/>
    </row>
    <row r="771" ht="15.75" customHeight="1">
      <c r="D771" s="158"/>
      <c r="G771" s="158"/>
      <c r="K771" s="276"/>
      <c r="N771" s="276"/>
      <c r="T771" s="277"/>
      <c r="Z771" s="278"/>
    </row>
    <row r="772" ht="15.75" customHeight="1">
      <c r="D772" s="158"/>
      <c r="G772" s="158"/>
      <c r="K772" s="276"/>
      <c r="N772" s="276"/>
      <c r="T772" s="277"/>
      <c r="Z772" s="278"/>
    </row>
    <row r="773" ht="15.75" customHeight="1">
      <c r="D773" s="158"/>
      <c r="G773" s="158"/>
      <c r="K773" s="276"/>
      <c r="N773" s="276"/>
      <c r="T773" s="277"/>
      <c r="Z773" s="278"/>
    </row>
    <row r="774" ht="15.75" customHeight="1">
      <c r="D774" s="158"/>
      <c r="G774" s="158"/>
      <c r="K774" s="276"/>
      <c r="N774" s="276"/>
      <c r="T774" s="277"/>
      <c r="Z774" s="278"/>
    </row>
    <row r="775" ht="15.75" customHeight="1">
      <c r="D775" s="158"/>
      <c r="G775" s="158"/>
      <c r="K775" s="276"/>
      <c r="N775" s="276"/>
      <c r="T775" s="277"/>
      <c r="Z775" s="278"/>
    </row>
    <row r="776" ht="15.75" customHeight="1">
      <c r="D776" s="158"/>
      <c r="G776" s="158"/>
      <c r="K776" s="276"/>
      <c r="N776" s="276"/>
      <c r="T776" s="277"/>
      <c r="Z776" s="278"/>
    </row>
    <row r="777" ht="15.75" customHeight="1">
      <c r="D777" s="158"/>
      <c r="G777" s="158"/>
      <c r="K777" s="276"/>
      <c r="N777" s="276"/>
      <c r="T777" s="277"/>
      <c r="Z777" s="278"/>
    </row>
    <row r="778" ht="15.75" customHeight="1">
      <c r="D778" s="158"/>
      <c r="G778" s="158"/>
      <c r="K778" s="276"/>
      <c r="N778" s="276"/>
      <c r="T778" s="277"/>
      <c r="Z778" s="278"/>
    </row>
    <row r="779" ht="15.75" customHeight="1">
      <c r="D779" s="158"/>
      <c r="G779" s="158"/>
      <c r="K779" s="276"/>
      <c r="N779" s="276"/>
      <c r="T779" s="277"/>
      <c r="Z779" s="278"/>
    </row>
    <row r="780" ht="15.75" customHeight="1">
      <c r="D780" s="158"/>
      <c r="G780" s="158"/>
      <c r="K780" s="276"/>
      <c r="N780" s="276"/>
      <c r="T780" s="277"/>
      <c r="Z780" s="278"/>
    </row>
    <row r="781" ht="15.75" customHeight="1">
      <c r="D781" s="158"/>
      <c r="G781" s="158"/>
      <c r="K781" s="276"/>
      <c r="N781" s="276"/>
      <c r="T781" s="277"/>
      <c r="Z781" s="278"/>
    </row>
    <row r="782" ht="15.75" customHeight="1">
      <c r="D782" s="158"/>
      <c r="G782" s="158"/>
      <c r="K782" s="276"/>
      <c r="N782" s="276"/>
      <c r="T782" s="277"/>
      <c r="Z782" s="278"/>
    </row>
    <row r="783" ht="15.75" customHeight="1">
      <c r="D783" s="158"/>
      <c r="G783" s="158"/>
      <c r="K783" s="276"/>
      <c r="N783" s="276"/>
      <c r="T783" s="277"/>
      <c r="Z783" s="278"/>
    </row>
    <row r="784" ht="15.75" customHeight="1">
      <c r="D784" s="158"/>
      <c r="G784" s="158"/>
      <c r="K784" s="276"/>
      <c r="N784" s="276"/>
      <c r="T784" s="277"/>
      <c r="Z784" s="278"/>
    </row>
    <row r="785" ht="15.75" customHeight="1">
      <c r="D785" s="158"/>
      <c r="G785" s="158"/>
      <c r="K785" s="276"/>
      <c r="N785" s="276"/>
      <c r="T785" s="277"/>
      <c r="Z785" s="278"/>
    </row>
    <row r="786" ht="15.75" customHeight="1">
      <c r="D786" s="158"/>
      <c r="G786" s="158"/>
      <c r="K786" s="276"/>
      <c r="N786" s="276"/>
      <c r="T786" s="277"/>
      <c r="Z786" s="278"/>
    </row>
    <row r="787" ht="15.75" customHeight="1">
      <c r="D787" s="158"/>
      <c r="G787" s="158"/>
      <c r="K787" s="276"/>
      <c r="N787" s="276"/>
      <c r="T787" s="277"/>
      <c r="Z787" s="278"/>
    </row>
    <row r="788" ht="15.75" customHeight="1">
      <c r="D788" s="158"/>
      <c r="G788" s="158"/>
      <c r="K788" s="276"/>
      <c r="N788" s="276"/>
      <c r="T788" s="277"/>
      <c r="Z788" s="278"/>
    </row>
    <row r="789" ht="15.75" customHeight="1">
      <c r="D789" s="158"/>
      <c r="G789" s="158"/>
      <c r="K789" s="276"/>
      <c r="N789" s="276"/>
      <c r="T789" s="277"/>
      <c r="Z789" s="278"/>
    </row>
    <row r="790" ht="15.75" customHeight="1">
      <c r="D790" s="158"/>
      <c r="G790" s="158"/>
      <c r="K790" s="276"/>
      <c r="N790" s="276"/>
      <c r="T790" s="277"/>
      <c r="Z790" s="278"/>
    </row>
    <row r="791" ht="15.75" customHeight="1">
      <c r="D791" s="158"/>
      <c r="G791" s="158"/>
      <c r="K791" s="276"/>
      <c r="N791" s="276"/>
      <c r="T791" s="277"/>
      <c r="Z791" s="278"/>
    </row>
    <row r="792" ht="15.75" customHeight="1">
      <c r="D792" s="158"/>
      <c r="G792" s="158"/>
      <c r="K792" s="276"/>
      <c r="N792" s="276"/>
      <c r="T792" s="277"/>
      <c r="Z792" s="278"/>
    </row>
    <row r="793" ht="15.75" customHeight="1">
      <c r="D793" s="158"/>
      <c r="G793" s="158"/>
      <c r="K793" s="276"/>
      <c r="N793" s="276"/>
      <c r="T793" s="277"/>
      <c r="Z793" s="278"/>
    </row>
    <row r="794" ht="15.75" customHeight="1">
      <c r="D794" s="158"/>
      <c r="G794" s="158"/>
      <c r="K794" s="276"/>
      <c r="N794" s="276"/>
      <c r="T794" s="277"/>
      <c r="Z794" s="278"/>
    </row>
    <row r="795" ht="15.75" customHeight="1">
      <c r="D795" s="158"/>
      <c r="G795" s="158"/>
      <c r="K795" s="276"/>
      <c r="N795" s="276"/>
      <c r="T795" s="277"/>
      <c r="Z795" s="278"/>
    </row>
    <row r="796" ht="15.75" customHeight="1">
      <c r="D796" s="158"/>
      <c r="G796" s="158"/>
      <c r="K796" s="276"/>
      <c r="N796" s="276"/>
      <c r="T796" s="277"/>
      <c r="Z796" s="278"/>
    </row>
    <row r="797" ht="15.75" customHeight="1">
      <c r="D797" s="158"/>
      <c r="G797" s="158"/>
      <c r="K797" s="276"/>
      <c r="N797" s="276"/>
      <c r="T797" s="277"/>
      <c r="Z797" s="278"/>
    </row>
    <row r="798" ht="15.75" customHeight="1">
      <c r="D798" s="158"/>
      <c r="G798" s="158"/>
      <c r="K798" s="276"/>
      <c r="N798" s="276"/>
      <c r="T798" s="277"/>
      <c r="Z798" s="278"/>
    </row>
    <row r="799" ht="15.75" customHeight="1">
      <c r="D799" s="158"/>
      <c r="G799" s="158"/>
      <c r="K799" s="276"/>
      <c r="N799" s="276"/>
      <c r="T799" s="277"/>
      <c r="Z799" s="278"/>
    </row>
    <row r="800" ht="15.75" customHeight="1">
      <c r="D800" s="158"/>
      <c r="G800" s="158"/>
      <c r="K800" s="276"/>
      <c r="N800" s="276"/>
      <c r="T800" s="277"/>
      <c r="Z800" s="278"/>
    </row>
    <row r="801" ht="15.75" customHeight="1">
      <c r="D801" s="158"/>
      <c r="G801" s="158"/>
      <c r="K801" s="276"/>
      <c r="N801" s="276"/>
      <c r="T801" s="277"/>
      <c r="Z801" s="278"/>
    </row>
    <row r="802" ht="15.75" customHeight="1">
      <c r="D802" s="158"/>
      <c r="G802" s="158"/>
      <c r="K802" s="276"/>
      <c r="N802" s="276"/>
      <c r="T802" s="277"/>
      <c r="Z802" s="278"/>
    </row>
    <row r="803" ht="15.75" customHeight="1">
      <c r="D803" s="158"/>
      <c r="G803" s="158"/>
      <c r="K803" s="276"/>
      <c r="N803" s="276"/>
      <c r="T803" s="277"/>
      <c r="Z803" s="278"/>
    </row>
    <row r="804" ht="15.75" customHeight="1">
      <c r="D804" s="158"/>
      <c r="G804" s="158"/>
      <c r="K804" s="276"/>
      <c r="N804" s="276"/>
      <c r="T804" s="277"/>
      <c r="Z804" s="278"/>
    </row>
    <row r="805" ht="15.75" customHeight="1">
      <c r="D805" s="158"/>
      <c r="G805" s="158"/>
      <c r="K805" s="276"/>
      <c r="N805" s="276"/>
      <c r="T805" s="277"/>
      <c r="Z805" s="278"/>
    </row>
    <row r="806" ht="15.75" customHeight="1">
      <c r="D806" s="158"/>
      <c r="G806" s="158"/>
      <c r="K806" s="276"/>
      <c r="N806" s="276"/>
      <c r="T806" s="277"/>
      <c r="Z806" s="278"/>
    </row>
    <row r="807" ht="15.75" customHeight="1">
      <c r="D807" s="158"/>
      <c r="G807" s="158"/>
      <c r="K807" s="276"/>
      <c r="N807" s="276"/>
      <c r="T807" s="277"/>
      <c r="Z807" s="278"/>
    </row>
    <row r="808" ht="15.75" customHeight="1">
      <c r="D808" s="158"/>
      <c r="G808" s="158"/>
      <c r="K808" s="276"/>
      <c r="N808" s="276"/>
      <c r="T808" s="277"/>
      <c r="Z808" s="278"/>
    </row>
    <row r="809" ht="15.75" customHeight="1">
      <c r="D809" s="158"/>
      <c r="G809" s="158"/>
      <c r="K809" s="276"/>
      <c r="N809" s="276"/>
      <c r="T809" s="277"/>
      <c r="Z809" s="278"/>
    </row>
    <row r="810" ht="15.75" customHeight="1">
      <c r="D810" s="158"/>
      <c r="G810" s="158"/>
      <c r="K810" s="276"/>
      <c r="N810" s="276"/>
      <c r="T810" s="277"/>
      <c r="Z810" s="278"/>
    </row>
    <row r="811" ht="15.75" customHeight="1">
      <c r="D811" s="158"/>
      <c r="G811" s="158"/>
      <c r="K811" s="276"/>
      <c r="N811" s="276"/>
      <c r="T811" s="277"/>
      <c r="Z811" s="278"/>
    </row>
    <row r="812" ht="15.75" customHeight="1">
      <c r="D812" s="158"/>
      <c r="G812" s="158"/>
      <c r="K812" s="276"/>
      <c r="N812" s="276"/>
      <c r="T812" s="277"/>
      <c r="Z812" s="278"/>
    </row>
    <row r="813" ht="15.75" customHeight="1">
      <c r="D813" s="158"/>
      <c r="G813" s="158"/>
      <c r="K813" s="276"/>
      <c r="N813" s="276"/>
      <c r="T813" s="277"/>
      <c r="Z813" s="278"/>
    </row>
    <row r="814" ht="15.75" customHeight="1">
      <c r="D814" s="158"/>
      <c r="G814" s="158"/>
      <c r="K814" s="276"/>
      <c r="N814" s="276"/>
      <c r="T814" s="277"/>
      <c r="Z814" s="278"/>
    </row>
    <row r="815" ht="15.75" customHeight="1">
      <c r="D815" s="158"/>
      <c r="G815" s="158"/>
      <c r="K815" s="276"/>
      <c r="N815" s="276"/>
      <c r="T815" s="277"/>
      <c r="Z815" s="278"/>
    </row>
    <row r="816" ht="15.75" customHeight="1">
      <c r="D816" s="158"/>
      <c r="G816" s="158"/>
      <c r="K816" s="276"/>
      <c r="N816" s="276"/>
      <c r="T816" s="277"/>
      <c r="Z816" s="278"/>
    </row>
    <row r="817" ht="15.75" customHeight="1">
      <c r="D817" s="158"/>
      <c r="G817" s="158"/>
      <c r="K817" s="276"/>
      <c r="N817" s="276"/>
      <c r="T817" s="277"/>
      <c r="Z817" s="278"/>
    </row>
    <row r="818" ht="15.75" customHeight="1">
      <c r="D818" s="158"/>
      <c r="G818" s="158"/>
      <c r="K818" s="276"/>
      <c r="N818" s="276"/>
      <c r="T818" s="277"/>
      <c r="Z818" s="278"/>
    </row>
    <row r="819" ht="15.75" customHeight="1">
      <c r="D819" s="158"/>
      <c r="G819" s="158"/>
      <c r="K819" s="276"/>
      <c r="N819" s="276"/>
      <c r="T819" s="277"/>
      <c r="Z819" s="278"/>
    </row>
    <row r="820" ht="15.75" customHeight="1">
      <c r="D820" s="158"/>
      <c r="G820" s="158"/>
      <c r="K820" s="276"/>
      <c r="N820" s="276"/>
      <c r="T820" s="277"/>
      <c r="Z820" s="278"/>
    </row>
    <row r="821" ht="15.75" customHeight="1">
      <c r="D821" s="158"/>
      <c r="G821" s="158"/>
      <c r="K821" s="276"/>
      <c r="N821" s="276"/>
      <c r="T821" s="277"/>
      <c r="Z821" s="278"/>
    </row>
    <row r="822" ht="15.75" customHeight="1">
      <c r="D822" s="158"/>
      <c r="G822" s="158"/>
      <c r="K822" s="276"/>
      <c r="N822" s="276"/>
      <c r="T822" s="277"/>
      <c r="Z822" s="278"/>
    </row>
    <row r="823" ht="15.75" customHeight="1">
      <c r="D823" s="158"/>
      <c r="G823" s="158"/>
      <c r="K823" s="276"/>
      <c r="N823" s="276"/>
      <c r="T823" s="277"/>
      <c r="Z823" s="278"/>
    </row>
    <row r="824" ht="15.75" customHeight="1">
      <c r="D824" s="158"/>
      <c r="G824" s="158"/>
      <c r="K824" s="276"/>
      <c r="N824" s="276"/>
      <c r="T824" s="277"/>
      <c r="Z824" s="278"/>
    </row>
    <row r="825" ht="15.75" customHeight="1">
      <c r="D825" s="158"/>
      <c r="G825" s="158"/>
      <c r="K825" s="276"/>
      <c r="N825" s="276"/>
      <c r="T825" s="277"/>
      <c r="Z825" s="278"/>
    </row>
    <row r="826" ht="15.75" customHeight="1">
      <c r="D826" s="158"/>
      <c r="G826" s="158"/>
      <c r="K826" s="276"/>
      <c r="N826" s="276"/>
      <c r="T826" s="277"/>
      <c r="Z826" s="278"/>
    </row>
    <row r="827" ht="15.75" customHeight="1">
      <c r="D827" s="158"/>
      <c r="G827" s="158"/>
      <c r="K827" s="276"/>
      <c r="N827" s="276"/>
      <c r="T827" s="277"/>
      <c r="Z827" s="278"/>
    </row>
    <row r="828" ht="15.75" customHeight="1">
      <c r="D828" s="158"/>
      <c r="G828" s="158"/>
      <c r="K828" s="276"/>
      <c r="N828" s="276"/>
      <c r="T828" s="277"/>
      <c r="Z828" s="278"/>
    </row>
    <row r="829" ht="15.75" customHeight="1">
      <c r="D829" s="158"/>
      <c r="G829" s="158"/>
      <c r="K829" s="276"/>
      <c r="N829" s="276"/>
      <c r="T829" s="277"/>
      <c r="Z829" s="278"/>
    </row>
    <row r="830" ht="15.75" customHeight="1">
      <c r="D830" s="158"/>
      <c r="G830" s="158"/>
      <c r="K830" s="276"/>
      <c r="N830" s="276"/>
      <c r="T830" s="277"/>
      <c r="Z830" s="278"/>
    </row>
    <row r="831" ht="15.75" customHeight="1">
      <c r="D831" s="158"/>
      <c r="G831" s="158"/>
      <c r="K831" s="276"/>
      <c r="N831" s="276"/>
      <c r="T831" s="277"/>
      <c r="Z831" s="278"/>
    </row>
    <row r="832" ht="15.75" customHeight="1">
      <c r="D832" s="158"/>
      <c r="G832" s="158"/>
      <c r="K832" s="276"/>
      <c r="N832" s="276"/>
      <c r="T832" s="277"/>
      <c r="Z832" s="278"/>
    </row>
    <row r="833" ht="15.75" customHeight="1">
      <c r="D833" s="158"/>
      <c r="G833" s="158"/>
      <c r="K833" s="276"/>
      <c r="N833" s="276"/>
      <c r="T833" s="277"/>
      <c r="Z833" s="278"/>
    </row>
    <row r="834" ht="15.75" customHeight="1">
      <c r="D834" s="158"/>
      <c r="G834" s="158"/>
      <c r="K834" s="276"/>
      <c r="N834" s="276"/>
      <c r="T834" s="277"/>
      <c r="Z834" s="278"/>
    </row>
    <row r="835" ht="15.75" customHeight="1">
      <c r="D835" s="158"/>
      <c r="G835" s="158"/>
      <c r="K835" s="276"/>
      <c r="N835" s="276"/>
      <c r="T835" s="277"/>
      <c r="Z835" s="278"/>
    </row>
    <row r="836" ht="15.75" customHeight="1">
      <c r="D836" s="158"/>
      <c r="G836" s="158"/>
      <c r="K836" s="276"/>
      <c r="N836" s="276"/>
      <c r="T836" s="277"/>
      <c r="Z836" s="278"/>
    </row>
    <row r="837" ht="15.75" customHeight="1">
      <c r="D837" s="158"/>
      <c r="G837" s="158"/>
      <c r="K837" s="276"/>
      <c r="N837" s="276"/>
      <c r="T837" s="277"/>
      <c r="Z837" s="278"/>
    </row>
    <row r="838" ht="15.75" customHeight="1">
      <c r="D838" s="158"/>
      <c r="G838" s="158"/>
      <c r="K838" s="276"/>
      <c r="N838" s="276"/>
      <c r="T838" s="277"/>
      <c r="Z838" s="278"/>
    </row>
    <row r="839" ht="15.75" customHeight="1">
      <c r="D839" s="158"/>
      <c r="G839" s="158"/>
      <c r="K839" s="276"/>
      <c r="N839" s="276"/>
      <c r="T839" s="277"/>
      <c r="Z839" s="278"/>
    </row>
    <row r="840" ht="15.75" customHeight="1">
      <c r="D840" s="158"/>
      <c r="G840" s="158"/>
      <c r="K840" s="276"/>
      <c r="N840" s="276"/>
      <c r="T840" s="277"/>
      <c r="Z840" s="278"/>
    </row>
    <row r="841" ht="15.75" customHeight="1">
      <c r="D841" s="158"/>
      <c r="G841" s="158"/>
      <c r="K841" s="276"/>
      <c r="N841" s="276"/>
      <c r="T841" s="277"/>
      <c r="Z841" s="278"/>
    </row>
    <row r="842" ht="15.75" customHeight="1">
      <c r="D842" s="158"/>
      <c r="G842" s="158"/>
      <c r="K842" s="276"/>
      <c r="N842" s="276"/>
      <c r="T842" s="277"/>
      <c r="Z842" s="278"/>
    </row>
    <row r="843" ht="15.75" customHeight="1">
      <c r="D843" s="158"/>
      <c r="G843" s="158"/>
      <c r="K843" s="276"/>
      <c r="N843" s="276"/>
      <c r="T843" s="277"/>
      <c r="Z843" s="278"/>
    </row>
    <row r="844" ht="15.75" customHeight="1">
      <c r="D844" s="158"/>
      <c r="G844" s="158"/>
      <c r="K844" s="276"/>
      <c r="N844" s="276"/>
      <c r="T844" s="277"/>
      <c r="Z844" s="278"/>
    </row>
    <row r="845" ht="15.75" customHeight="1">
      <c r="D845" s="158"/>
      <c r="G845" s="158"/>
      <c r="K845" s="276"/>
      <c r="N845" s="276"/>
      <c r="T845" s="277"/>
      <c r="Z845" s="278"/>
    </row>
    <row r="846" ht="15.75" customHeight="1">
      <c r="D846" s="158"/>
      <c r="G846" s="158"/>
      <c r="K846" s="276"/>
      <c r="N846" s="276"/>
      <c r="T846" s="277"/>
      <c r="Z846" s="278"/>
    </row>
    <row r="847" ht="15.75" customHeight="1">
      <c r="D847" s="158"/>
      <c r="G847" s="158"/>
      <c r="K847" s="276"/>
      <c r="N847" s="276"/>
      <c r="T847" s="277"/>
      <c r="Z847" s="278"/>
    </row>
    <row r="848" ht="15.75" customHeight="1">
      <c r="D848" s="158"/>
      <c r="G848" s="158"/>
      <c r="K848" s="276"/>
      <c r="N848" s="276"/>
      <c r="T848" s="277"/>
      <c r="Z848" s="278"/>
    </row>
    <row r="849" ht="15.75" customHeight="1">
      <c r="D849" s="158"/>
      <c r="G849" s="158"/>
      <c r="K849" s="276"/>
      <c r="N849" s="276"/>
      <c r="T849" s="277"/>
      <c r="Z849" s="278"/>
    </row>
    <row r="850" ht="15.75" customHeight="1">
      <c r="D850" s="158"/>
      <c r="G850" s="158"/>
      <c r="K850" s="276"/>
      <c r="N850" s="276"/>
      <c r="T850" s="277"/>
      <c r="Z850" s="278"/>
    </row>
    <row r="851" ht="15.75" customHeight="1">
      <c r="D851" s="158"/>
      <c r="G851" s="158"/>
      <c r="K851" s="276"/>
      <c r="N851" s="276"/>
      <c r="T851" s="277"/>
      <c r="Z851" s="278"/>
    </row>
    <row r="852" ht="15.75" customHeight="1">
      <c r="D852" s="158"/>
      <c r="G852" s="158"/>
      <c r="K852" s="276"/>
      <c r="N852" s="276"/>
      <c r="T852" s="277"/>
      <c r="Z852" s="278"/>
    </row>
    <row r="853" ht="15.75" customHeight="1">
      <c r="D853" s="158"/>
      <c r="G853" s="158"/>
      <c r="K853" s="276"/>
      <c r="N853" s="276"/>
      <c r="T853" s="277"/>
      <c r="Z853" s="278"/>
    </row>
    <row r="854" ht="15.75" customHeight="1">
      <c r="D854" s="158"/>
      <c r="G854" s="158"/>
      <c r="K854" s="276"/>
      <c r="N854" s="276"/>
      <c r="T854" s="277"/>
      <c r="Z854" s="278"/>
    </row>
    <row r="855" ht="15.75" customHeight="1">
      <c r="D855" s="158"/>
      <c r="G855" s="158"/>
      <c r="K855" s="276"/>
      <c r="N855" s="276"/>
      <c r="T855" s="277"/>
      <c r="Z855" s="278"/>
    </row>
    <row r="856" ht="15.75" customHeight="1">
      <c r="D856" s="158"/>
      <c r="G856" s="158"/>
      <c r="K856" s="276"/>
      <c r="N856" s="276"/>
      <c r="T856" s="277"/>
      <c r="Z856" s="278"/>
    </row>
    <row r="857" ht="15.75" customHeight="1">
      <c r="D857" s="158"/>
      <c r="G857" s="158"/>
      <c r="K857" s="276"/>
      <c r="N857" s="276"/>
      <c r="T857" s="277"/>
      <c r="Z857" s="278"/>
    </row>
    <row r="858" ht="15.75" customHeight="1">
      <c r="D858" s="158"/>
      <c r="G858" s="158"/>
      <c r="K858" s="276"/>
      <c r="N858" s="276"/>
      <c r="T858" s="277"/>
      <c r="Z858" s="278"/>
    </row>
    <row r="859" ht="15.75" customHeight="1">
      <c r="D859" s="158"/>
      <c r="G859" s="158"/>
      <c r="K859" s="276"/>
      <c r="N859" s="276"/>
      <c r="T859" s="277"/>
      <c r="Z859" s="278"/>
    </row>
    <row r="860" ht="15.75" customHeight="1">
      <c r="D860" s="158"/>
      <c r="G860" s="158"/>
      <c r="K860" s="276"/>
      <c r="N860" s="276"/>
      <c r="T860" s="277"/>
      <c r="Z860" s="278"/>
    </row>
    <row r="861" ht="15.75" customHeight="1">
      <c r="D861" s="158"/>
      <c r="G861" s="158"/>
      <c r="K861" s="276"/>
      <c r="N861" s="276"/>
      <c r="T861" s="277"/>
      <c r="Z861" s="278"/>
    </row>
    <row r="862" ht="15.75" customHeight="1">
      <c r="D862" s="158"/>
      <c r="G862" s="158"/>
      <c r="K862" s="276"/>
      <c r="N862" s="276"/>
      <c r="T862" s="277"/>
      <c r="Z862" s="278"/>
    </row>
    <row r="863" ht="15.75" customHeight="1">
      <c r="D863" s="158"/>
      <c r="G863" s="158"/>
      <c r="K863" s="276"/>
      <c r="N863" s="276"/>
      <c r="T863" s="277"/>
      <c r="Z863" s="278"/>
    </row>
    <row r="864" ht="15.75" customHeight="1">
      <c r="D864" s="158"/>
      <c r="G864" s="158"/>
      <c r="K864" s="276"/>
      <c r="N864" s="276"/>
      <c r="T864" s="277"/>
      <c r="Z864" s="278"/>
    </row>
    <row r="865" ht="15.75" customHeight="1">
      <c r="D865" s="158"/>
      <c r="G865" s="158"/>
      <c r="K865" s="276"/>
      <c r="N865" s="276"/>
      <c r="T865" s="277"/>
      <c r="Z865" s="278"/>
    </row>
    <row r="866" ht="15.75" customHeight="1">
      <c r="D866" s="158"/>
      <c r="G866" s="158"/>
      <c r="K866" s="276"/>
      <c r="N866" s="276"/>
      <c r="T866" s="277"/>
      <c r="Z866" s="278"/>
    </row>
    <row r="867" ht="15.75" customHeight="1">
      <c r="D867" s="158"/>
      <c r="G867" s="158"/>
      <c r="K867" s="276"/>
      <c r="N867" s="276"/>
      <c r="T867" s="277"/>
      <c r="Z867" s="278"/>
    </row>
    <row r="868" ht="15.75" customHeight="1">
      <c r="D868" s="158"/>
      <c r="G868" s="158"/>
      <c r="K868" s="276"/>
      <c r="N868" s="276"/>
      <c r="T868" s="277"/>
      <c r="Z868" s="278"/>
    </row>
    <row r="869" ht="15.75" customHeight="1">
      <c r="D869" s="158"/>
      <c r="G869" s="158"/>
      <c r="K869" s="276"/>
      <c r="N869" s="276"/>
      <c r="T869" s="277"/>
      <c r="Z869" s="278"/>
    </row>
    <row r="870" ht="15.75" customHeight="1">
      <c r="D870" s="158"/>
      <c r="G870" s="158"/>
      <c r="K870" s="276"/>
      <c r="N870" s="276"/>
      <c r="T870" s="277"/>
      <c r="Z870" s="278"/>
    </row>
    <row r="871" ht="15.75" customHeight="1">
      <c r="D871" s="158"/>
      <c r="G871" s="158"/>
      <c r="K871" s="276"/>
      <c r="N871" s="276"/>
      <c r="T871" s="277"/>
      <c r="Z871" s="278"/>
    </row>
    <row r="872" ht="15.75" customHeight="1">
      <c r="D872" s="158"/>
      <c r="G872" s="158"/>
      <c r="K872" s="276"/>
      <c r="N872" s="276"/>
      <c r="T872" s="277"/>
      <c r="Z872" s="278"/>
    </row>
    <row r="873" ht="15.75" customHeight="1">
      <c r="D873" s="158"/>
      <c r="G873" s="158"/>
      <c r="K873" s="276"/>
      <c r="N873" s="276"/>
      <c r="T873" s="277"/>
      <c r="Z873" s="278"/>
    </row>
    <row r="874" ht="15.75" customHeight="1">
      <c r="D874" s="158"/>
      <c r="G874" s="158"/>
      <c r="K874" s="276"/>
      <c r="N874" s="276"/>
      <c r="T874" s="277"/>
      <c r="Z874" s="278"/>
    </row>
    <row r="875" ht="15.75" customHeight="1">
      <c r="D875" s="158"/>
      <c r="G875" s="158"/>
      <c r="K875" s="276"/>
      <c r="N875" s="276"/>
      <c r="T875" s="277"/>
      <c r="Z875" s="278"/>
    </row>
    <row r="876" ht="15.75" customHeight="1">
      <c r="D876" s="158"/>
      <c r="G876" s="158"/>
      <c r="K876" s="276"/>
      <c r="N876" s="276"/>
      <c r="T876" s="277"/>
      <c r="Z876" s="278"/>
    </row>
    <row r="877" ht="15.75" customHeight="1">
      <c r="D877" s="158"/>
      <c r="G877" s="158"/>
      <c r="K877" s="276"/>
      <c r="N877" s="276"/>
      <c r="T877" s="277"/>
      <c r="Z877" s="278"/>
    </row>
    <row r="878" ht="15.75" customHeight="1">
      <c r="D878" s="158"/>
      <c r="G878" s="158"/>
      <c r="K878" s="276"/>
      <c r="N878" s="276"/>
      <c r="T878" s="277"/>
      <c r="Z878" s="278"/>
    </row>
    <row r="879" ht="15.75" customHeight="1">
      <c r="D879" s="158"/>
      <c r="G879" s="158"/>
      <c r="K879" s="276"/>
      <c r="N879" s="276"/>
      <c r="T879" s="277"/>
      <c r="Z879" s="278"/>
    </row>
    <row r="880" ht="15.75" customHeight="1">
      <c r="D880" s="158"/>
      <c r="G880" s="158"/>
      <c r="K880" s="276"/>
      <c r="N880" s="276"/>
      <c r="T880" s="277"/>
      <c r="Z880" s="278"/>
    </row>
    <row r="881" ht="15.75" customHeight="1">
      <c r="D881" s="158"/>
      <c r="G881" s="158"/>
      <c r="K881" s="276"/>
      <c r="N881" s="276"/>
      <c r="T881" s="277"/>
      <c r="Z881" s="278"/>
    </row>
    <row r="882" ht="15.75" customHeight="1">
      <c r="D882" s="158"/>
      <c r="G882" s="158"/>
      <c r="K882" s="276"/>
      <c r="N882" s="276"/>
      <c r="T882" s="277"/>
      <c r="Z882" s="278"/>
    </row>
    <row r="883" ht="15.75" customHeight="1">
      <c r="D883" s="158"/>
      <c r="G883" s="158"/>
      <c r="K883" s="276"/>
      <c r="N883" s="276"/>
      <c r="T883" s="277"/>
      <c r="Z883" s="278"/>
    </row>
    <row r="884" ht="15.75" customHeight="1">
      <c r="D884" s="158"/>
      <c r="G884" s="158"/>
      <c r="K884" s="276"/>
      <c r="N884" s="276"/>
      <c r="T884" s="277"/>
      <c r="Z884" s="278"/>
    </row>
    <row r="885" ht="15.75" customHeight="1">
      <c r="D885" s="158"/>
      <c r="G885" s="158"/>
      <c r="K885" s="276"/>
      <c r="N885" s="276"/>
      <c r="T885" s="277"/>
      <c r="Z885" s="278"/>
    </row>
    <row r="886" ht="15.75" customHeight="1">
      <c r="D886" s="158"/>
      <c r="G886" s="158"/>
      <c r="K886" s="276"/>
      <c r="N886" s="276"/>
      <c r="T886" s="277"/>
      <c r="Z886" s="278"/>
    </row>
    <row r="887" ht="15.75" customHeight="1">
      <c r="D887" s="158"/>
      <c r="G887" s="158"/>
      <c r="K887" s="276"/>
      <c r="N887" s="276"/>
      <c r="T887" s="277"/>
      <c r="Z887" s="278"/>
    </row>
    <row r="888" ht="15.75" customHeight="1">
      <c r="D888" s="158"/>
      <c r="G888" s="158"/>
      <c r="K888" s="276"/>
      <c r="N888" s="276"/>
      <c r="T888" s="277"/>
      <c r="Z888" s="278"/>
    </row>
    <row r="889" ht="15.75" customHeight="1">
      <c r="D889" s="158"/>
      <c r="G889" s="158"/>
      <c r="K889" s="276"/>
      <c r="N889" s="276"/>
      <c r="T889" s="277"/>
      <c r="Z889" s="278"/>
    </row>
    <row r="890" ht="15.75" customHeight="1">
      <c r="D890" s="158"/>
      <c r="G890" s="158"/>
      <c r="K890" s="276"/>
      <c r="N890" s="276"/>
      <c r="T890" s="277"/>
      <c r="Z890" s="278"/>
    </row>
    <row r="891" ht="15.75" customHeight="1">
      <c r="D891" s="158"/>
      <c r="G891" s="158"/>
      <c r="K891" s="276"/>
      <c r="N891" s="276"/>
      <c r="T891" s="277"/>
      <c r="Z891" s="278"/>
    </row>
    <row r="892" ht="15.75" customHeight="1">
      <c r="D892" s="158"/>
      <c r="G892" s="158"/>
      <c r="K892" s="276"/>
      <c r="N892" s="276"/>
      <c r="T892" s="277"/>
      <c r="Z892" s="278"/>
    </row>
    <row r="893" ht="15.75" customHeight="1">
      <c r="D893" s="158"/>
      <c r="G893" s="158"/>
      <c r="K893" s="276"/>
      <c r="N893" s="276"/>
      <c r="T893" s="277"/>
      <c r="Z893" s="278"/>
    </row>
    <row r="894" ht="15.75" customHeight="1">
      <c r="D894" s="158"/>
      <c r="G894" s="158"/>
      <c r="K894" s="276"/>
      <c r="N894" s="276"/>
      <c r="T894" s="277"/>
      <c r="Z894" s="278"/>
    </row>
    <row r="895" ht="15.75" customHeight="1">
      <c r="D895" s="158"/>
      <c r="G895" s="158"/>
      <c r="K895" s="276"/>
      <c r="N895" s="276"/>
      <c r="T895" s="277"/>
      <c r="Z895" s="278"/>
    </row>
    <row r="896" ht="15.75" customHeight="1">
      <c r="D896" s="158"/>
      <c r="G896" s="158"/>
      <c r="K896" s="276"/>
      <c r="N896" s="276"/>
      <c r="T896" s="277"/>
      <c r="Z896" s="278"/>
    </row>
    <row r="897" ht="15.75" customHeight="1">
      <c r="D897" s="158"/>
      <c r="G897" s="158"/>
      <c r="K897" s="276"/>
      <c r="N897" s="276"/>
      <c r="T897" s="277"/>
      <c r="Z897" s="278"/>
    </row>
    <row r="898" ht="15.75" customHeight="1">
      <c r="D898" s="158"/>
      <c r="G898" s="158"/>
      <c r="K898" s="276"/>
      <c r="N898" s="276"/>
      <c r="T898" s="277"/>
      <c r="Z898" s="278"/>
    </row>
    <row r="899" ht="15.75" customHeight="1">
      <c r="D899" s="158"/>
      <c r="G899" s="158"/>
      <c r="K899" s="276"/>
      <c r="N899" s="276"/>
      <c r="T899" s="277"/>
      <c r="Z899" s="278"/>
    </row>
    <row r="900" ht="15.75" customHeight="1">
      <c r="D900" s="158"/>
      <c r="G900" s="158"/>
      <c r="K900" s="276"/>
      <c r="N900" s="276"/>
      <c r="T900" s="277"/>
      <c r="Z900" s="278"/>
    </row>
    <row r="901" ht="15.75" customHeight="1">
      <c r="D901" s="158"/>
      <c r="G901" s="158"/>
      <c r="K901" s="276"/>
      <c r="N901" s="276"/>
      <c r="T901" s="277"/>
      <c r="Z901" s="278"/>
    </row>
    <row r="902" ht="15.75" customHeight="1">
      <c r="D902" s="158"/>
      <c r="G902" s="158"/>
      <c r="K902" s="276"/>
      <c r="N902" s="276"/>
      <c r="T902" s="277"/>
      <c r="Z902" s="278"/>
    </row>
    <row r="903" ht="15.75" customHeight="1">
      <c r="D903" s="158"/>
      <c r="G903" s="158"/>
      <c r="K903" s="276"/>
      <c r="N903" s="276"/>
      <c r="T903" s="277"/>
      <c r="Z903" s="278"/>
    </row>
    <row r="904" ht="15.75" customHeight="1">
      <c r="D904" s="158"/>
      <c r="G904" s="158"/>
      <c r="K904" s="276"/>
      <c r="N904" s="276"/>
      <c r="T904" s="277"/>
      <c r="Z904" s="278"/>
    </row>
    <row r="905" ht="15.75" customHeight="1">
      <c r="D905" s="158"/>
      <c r="G905" s="158"/>
      <c r="K905" s="276"/>
      <c r="N905" s="276"/>
      <c r="T905" s="277"/>
      <c r="Z905" s="278"/>
    </row>
    <row r="906" ht="15.75" customHeight="1">
      <c r="D906" s="158"/>
      <c r="G906" s="158"/>
      <c r="K906" s="276"/>
      <c r="N906" s="276"/>
      <c r="T906" s="277"/>
      <c r="Z906" s="278"/>
    </row>
    <row r="907" ht="15.75" customHeight="1">
      <c r="D907" s="158"/>
      <c r="G907" s="158"/>
      <c r="K907" s="276"/>
      <c r="N907" s="276"/>
      <c r="T907" s="277"/>
      <c r="Z907" s="278"/>
    </row>
    <row r="908" ht="15.75" customHeight="1">
      <c r="D908" s="158"/>
      <c r="G908" s="158"/>
      <c r="K908" s="276"/>
      <c r="N908" s="276"/>
      <c r="T908" s="277"/>
      <c r="Z908" s="278"/>
    </row>
    <row r="909" ht="15.75" customHeight="1">
      <c r="D909" s="158"/>
      <c r="G909" s="158"/>
      <c r="K909" s="276"/>
      <c r="N909" s="276"/>
      <c r="T909" s="277"/>
      <c r="Z909" s="278"/>
    </row>
    <row r="910" ht="15.75" customHeight="1">
      <c r="D910" s="158"/>
      <c r="G910" s="158"/>
      <c r="K910" s="276"/>
      <c r="N910" s="276"/>
      <c r="T910" s="277"/>
      <c r="Z910" s="278"/>
    </row>
    <row r="911" ht="15.75" customHeight="1">
      <c r="D911" s="158"/>
      <c r="G911" s="158"/>
      <c r="K911" s="276"/>
      <c r="N911" s="276"/>
      <c r="T911" s="277"/>
      <c r="Z911" s="278"/>
    </row>
    <row r="912" ht="15.75" customHeight="1">
      <c r="D912" s="158"/>
      <c r="G912" s="158"/>
      <c r="K912" s="276"/>
      <c r="N912" s="276"/>
      <c r="T912" s="277"/>
      <c r="Z912" s="278"/>
    </row>
    <row r="913" ht="15.75" customHeight="1">
      <c r="D913" s="158"/>
      <c r="G913" s="158"/>
      <c r="K913" s="276"/>
      <c r="N913" s="276"/>
      <c r="T913" s="277"/>
      <c r="Z913" s="278"/>
    </row>
    <row r="914" ht="15.75" customHeight="1">
      <c r="D914" s="158"/>
      <c r="G914" s="158"/>
      <c r="K914" s="276"/>
      <c r="N914" s="276"/>
      <c r="T914" s="277"/>
      <c r="Z914" s="278"/>
    </row>
    <row r="915" ht="15.75" customHeight="1">
      <c r="D915" s="158"/>
      <c r="G915" s="158"/>
      <c r="K915" s="276"/>
      <c r="N915" s="276"/>
      <c r="T915" s="277"/>
      <c r="Z915" s="278"/>
    </row>
    <row r="916" ht="15.75" customHeight="1">
      <c r="D916" s="158"/>
      <c r="G916" s="158"/>
      <c r="K916" s="276"/>
      <c r="N916" s="276"/>
      <c r="T916" s="277"/>
      <c r="Z916" s="278"/>
    </row>
    <row r="917" ht="15.75" customHeight="1">
      <c r="D917" s="158"/>
      <c r="G917" s="158"/>
      <c r="K917" s="276"/>
      <c r="N917" s="276"/>
      <c r="T917" s="277"/>
      <c r="Z917" s="278"/>
    </row>
    <row r="918" ht="15.75" customHeight="1">
      <c r="D918" s="158"/>
      <c r="G918" s="158"/>
      <c r="K918" s="276"/>
      <c r="N918" s="276"/>
      <c r="T918" s="277"/>
      <c r="Z918" s="278"/>
    </row>
    <row r="919" ht="15.75" customHeight="1">
      <c r="D919" s="158"/>
      <c r="G919" s="158"/>
      <c r="K919" s="276"/>
      <c r="N919" s="276"/>
      <c r="T919" s="277"/>
      <c r="Z919" s="278"/>
    </row>
    <row r="920" ht="15.75" customHeight="1">
      <c r="D920" s="158"/>
      <c r="G920" s="158"/>
      <c r="K920" s="276"/>
      <c r="N920" s="276"/>
      <c r="T920" s="277"/>
      <c r="Z920" s="278"/>
    </row>
    <row r="921" ht="15.75" customHeight="1">
      <c r="D921" s="158"/>
      <c r="G921" s="158"/>
      <c r="K921" s="276"/>
      <c r="N921" s="276"/>
      <c r="T921" s="277"/>
      <c r="Z921" s="278"/>
    </row>
    <row r="922" ht="15.75" customHeight="1">
      <c r="D922" s="158"/>
      <c r="G922" s="158"/>
      <c r="K922" s="276"/>
      <c r="N922" s="276"/>
      <c r="T922" s="277"/>
      <c r="Z922" s="278"/>
    </row>
    <row r="923" ht="15.75" customHeight="1">
      <c r="D923" s="158"/>
      <c r="G923" s="158"/>
      <c r="K923" s="276"/>
      <c r="N923" s="276"/>
      <c r="T923" s="277"/>
      <c r="Z923" s="278"/>
    </row>
    <row r="924" ht="15.75" customHeight="1">
      <c r="D924" s="158"/>
      <c r="G924" s="158"/>
      <c r="K924" s="276"/>
      <c r="N924" s="276"/>
      <c r="T924" s="277"/>
      <c r="Z924" s="278"/>
    </row>
    <row r="925" ht="15.75" customHeight="1">
      <c r="D925" s="158"/>
      <c r="G925" s="158"/>
      <c r="K925" s="276"/>
      <c r="N925" s="276"/>
      <c r="T925" s="277"/>
      <c r="Z925" s="278"/>
    </row>
    <row r="926" ht="15.75" customHeight="1">
      <c r="D926" s="158"/>
      <c r="G926" s="158"/>
      <c r="K926" s="276"/>
      <c r="N926" s="276"/>
      <c r="T926" s="277"/>
      <c r="Z926" s="278"/>
    </row>
    <row r="927" ht="15.75" customHeight="1">
      <c r="D927" s="158"/>
      <c r="G927" s="158"/>
      <c r="K927" s="276"/>
      <c r="N927" s="276"/>
      <c r="T927" s="277"/>
      <c r="Z927" s="278"/>
    </row>
    <row r="928" ht="15.75" customHeight="1">
      <c r="D928" s="158"/>
      <c r="G928" s="158"/>
      <c r="K928" s="276"/>
      <c r="N928" s="276"/>
      <c r="T928" s="277"/>
      <c r="Z928" s="278"/>
    </row>
    <row r="929" ht="15.75" customHeight="1">
      <c r="D929" s="158"/>
      <c r="G929" s="158"/>
      <c r="K929" s="276"/>
      <c r="N929" s="276"/>
      <c r="T929" s="277"/>
      <c r="Z929" s="278"/>
    </row>
    <row r="930" ht="15.75" customHeight="1">
      <c r="D930" s="158"/>
      <c r="G930" s="158"/>
      <c r="K930" s="276"/>
      <c r="N930" s="276"/>
      <c r="T930" s="277"/>
      <c r="Z930" s="278"/>
    </row>
    <row r="931" ht="15.75" customHeight="1">
      <c r="D931" s="158"/>
      <c r="G931" s="158"/>
      <c r="K931" s="276"/>
      <c r="N931" s="276"/>
      <c r="T931" s="277"/>
      <c r="Z931" s="278"/>
    </row>
    <row r="932" ht="15.75" customHeight="1">
      <c r="D932" s="158"/>
      <c r="G932" s="158"/>
      <c r="K932" s="276"/>
      <c r="N932" s="276"/>
      <c r="T932" s="277"/>
      <c r="Z932" s="278"/>
    </row>
    <row r="933" ht="15.75" customHeight="1">
      <c r="D933" s="158"/>
      <c r="G933" s="158"/>
      <c r="K933" s="276"/>
      <c r="N933" s="276"/>
      <c r="T933" s="277"/>
      <c r="Z933" s="278"/>
    </row>
    <row r="934" ht="15.75" customHeight="1">
      <c r="D934" s="158"/>
      <c r="G934" s="158"/>
      <c r="K934" s="276"/>
      <c r="N934" s="276"/>
      <c r="T934" s="277"/>
      <c r="Z934" s="278"/>
    </row>
    <row r="935" ht="15.75" customHeight="1">
      <c r="D935" s="158"/>
      <c r="G935" s="158"/>
      <c r="K935" s="276"/>
      <c r="N935" s="276"/>
      <c r="T935" s="277"/>
      <c r="Z935" s="278"/>
    </row>
    <row r="936" ht="15.75" customHeight="1">
      <c r="D936" s="158"/>
      <c r="G936" s="158"/>
      <c r="K936" s="276"/>
      <c r="N936" s="276"/>
      <c r="T936" s="277"/>
      <c r="Z936" s="278"/>
    </row>
    <row r="937" ht="15.75" customHeight="1">
      <c r="D937" s="158"/>
      <c r="G937" s="158"/>
      <c r="K937" s="276"/>
      <c r="N937" s="276"/>
      <c r="T937" s="277"/>
      <c r="Z937" s="278"/>
    </row>
    <row r="938" ht="15.75" customHeight="1">
      <c r="D938" s="158"/>
      <c r="G938" s="158"/>
      <c r="K938" s="276"/>
      <c r="N938" s="276"/>
      <c r="T938" s="277"/>
      <c r="Z938" s="278"/>
    </row>
    <row r="939" ht="15.75" customHeight="1">
      <c r="D939" s="158"/>
      <c r="G939" s="158"/>
      <c r="K939" s="276"/>
      <c r="N939" s="276"/>
      <c r="T939" s="277"/>
      <c r="Z939" s="278"/>
    </row>
    <row r="940" ht="15.75" customHeight="1">
      <c r="D940" s="158"/>
      <c r="G940" s="158"/>
      <c r="K940" s="276"/>
      <c r="N940" s="276"/>
      <c r="T940" s="277"/>
      <c r="Z940" s="278"/>
    </row>
    <row r="941" ht="15.75" customHeight="1">
      <c r="D941" s="158"/>
      <c r="G941" s="158"/>
      <c r="K941" s="276"/>
      <c r="N941" s="276"/>
      <c r="T941" s="277"/>
      <c r="Z941" s="278"/>
    </row>
    <row r="942" ht="15.75" customHeight="1">
      <c r="D942" s="158"/>
      <c r="G942" s="158"/>
      <c r="K942" s="276"/>
      <c r="N942" s="276"/>
      <c r="T942" s="277"/>
      <c r="Z942" s="278"/>
    </row>
    <row r="943" ht="15.75" customHeight="1">
      <c r="D943" s="158"/>
      <c r="G943" s="158"/>
      <c r="K943" s="276"/>
      <c r="N943" s="276"/>
      <c r="T943" s="277"/>
      <c r="Z943" s="278"/>
    </row>
    <row r="944" ht="15.75" customHeight="1">
      <c r="D944" s="158"/>
      <c r="G944" s="158"/>
      <c r="K944" s="276"/>
      <c r="N944" s="276"/>
      <c r="T944" s="277"/>
      <c r="Z944" s="278"/>
    </row>
    <row r="945" ht="15.75" customHeight="1">
      <c r="D945" s="158"/>
      <c r="G945" s="158"/>
      <c r="K945" s="276"/>
      <c r="N945" s="276"/>
      <c r="T945" s="277"/>
      <c r="Z945" s="278"/>
    </row>
    <row r="946" ht="15.75" customHeight="1">
      <c r="D946" s="158"/>
      <c r="G946" s="158"/>
      <c r="K946" s="276"/>
      <c r="N946" s="276"/>
      <c r="T946" s="277"/>
      <c r="Z946" s="278"/>
    </row>
    <row r="947" ht="15.75" customHeight="1">
      <c r="D947" s="158"/>
      <c r="G947" s="158"/>
      <c r="K947" s="276"/>
      <c r="N947" s="276"/>
      <c r="T947" s="277"/>
      <c r="Z947" s="278"/>
    </row>
    <row r="948" ht="15.75" customHeight="1">
      <c r="D948" s="158"/>
      <c r="G948" s="158"/>
      <c r="K948" s="276"/>
      <c r="N948" s="276"/>
      <c r="T948" s="277"/>
      <c r="Z948" s="278"/>
    </row>
    <row r="949" ht="15.75" customHeight="1">
      <c r="D949" s="158"/>
      <c r="G949" s="158"/>
      <c r="K949" s="276"/>
      <c r="N949" s="276"/>
      <c r="T949" s="277"/>
      <c r="Z949" s="278"/>
    </row>
    <row r="950" ht="15.75" customHeight="1">
      <c r="D950" s="158"/>
      <c r="G950" s="158"/>
      <c r="K950" s="276"/>
      <c r="N950" s="276"/>
      <c r="T950" s="277"/>
      <c r="Z950" s="278"/>
    </row>
    <row r="951" ht="15.75" customHeight="1">
      <c r="D951" s="158"/>
      <c r="G951" s="158"/>
      <c r="K951" s="276"/>
      <c r="N951" s="276"/>
      <c r="T951" s="277"/>
      <c r="Z951" s="278"/>
    </row>
    <row r="952" ht="15.75" customHeight="1">
      <c r="D952" s="158"/>
      <c r="G952" s="158"/>
      <c r="K952" s="276"/>
      <c r="N952" s="276"/>
      <c r="T952" s="277"/>
      <c r="Z952" s="278"/>
    </row>
    <row r="953" ht="15.75" customHeight="1">
      <c r="D953" s="158"/>
      <c r="G953" s="158"/>
      <c r="K953" s="276"/>
      <c r="N953" s="276"/>
      <c r="T953" s="277"/>
      <c r="Z953" s="278"/>
    </row>
    <row r="954" ht="15.75" customHeight="1">
      <c r="D954" s="158"/>
      <c r="G954" s="158"/>
      <c r="K954" s="276"/>
      <c r="N954" s="276"/>
      <c r="T954" s="277"/>
      <c r="Z954" s="278"/>
    </row>
    <row r="955" ht="15.75" customHeight="1">
      <c r="D955" s="158"/>
      <c r="G955" s="158"/>
      <c r="K955" s="276"/>
      <c r="N955" s="276"/>
      <c r="T955" s="277"/>
      <c r="Z955" s="278"/>
    </row>
    <row r="956" ht="15.75" customHeight="1">
      <c r="D956" s="158"/>
      <c r="G956" s="158"/>
      <c r="K956" s="276"/>
      <c r="N956" s="276"/>
      <c r="T956" s="277"/>
      <c r="Z956" s="278"/>
    </row>
    <row r="957" ht="15.75" customHeight="1">
      <c r="D957" s="158"/>
      <c r="G957" s="158"/>
      <c r="K957" s="276"/>
      <c r="N957" s="276"/>
      <c r="T957" s="277"/>
      <c r="Z957" s="278"/>
    </row>
    <row r="958" ht="15.75" customHeight="1">
      <c r="D958" s="158"/>
      <c r="G958" s="158"/>
      <c r="K958" s="276"/>
      <c r="N958" s="276"/>
      <c r="T958" s="277"/>
      <c r="Z958" s="278"/>
    </row>
    <row r="959" ht="15.75" customHeight="1">
      <c r="D959" s="158"/>
      <c r="G959" s="158"/>
      <c r="K959" s="276"/>
      <c r="N959" s="276"/>
      <c r="T959" s="277"/>
      <c r="Z959" s="278"/>
    </row>
    <row r="960" ht="15.75" customHeight="1">
      <c r="D960" s="158"/>
      <c r="G960" s="158"/>
      <c r="K960" s="276"/>
      <c r="N960" s="276"/>
      <c r="T960" s="277"/>
      <c r="Z960" s="278"/>
    </row>
    <row r="961" ht="15.75" customHeight="1">
      <c r="D961" s="158"/>
      <c r="G961" s="158"/>
      <c r="K961" s="276"/>
      <c r="N961" s="276"/>
      <c r="T961" s="277"/>
      <c r="Z961" s="278"/>
    </row>
    <row r="962" ht="15.75" customHeight="1">
      <c r="D962" s="158"/>
      <c r="G962" s="158"/>
      <c r="K962" s="276"/>
      <c r="N962" s="276"/>
      <c r="T962" s="277"/>
      <c r="Z962" s="278"/>
    </row>
    <row r="963" ht="15.75" customHeight="1">
      <c r="D963" s="158"/>
      <c r="G963" s="158"/>
      <c r="K963" s="276"/>
      <c r="N963" s="276"/>
      <c r="T963" s="277"/>
      <c r="Z963" s="278"/>
    </row>
    <row r="964" ht="15.75" customHeight="1">
      <c r="D964" s="158"/>
      <c r="G964" s="158"/>
      <c r="K964" s="276"/>
      <c r="N964" s="276"/>
      <c r="T964" s="277"/>
      <c r="Z964" s="278"/>
    </row>
    <row r="965" ht="15.75" customHeight="1">
      <c r="D965" s="158"/>
      <c r="G965" s="158"/>
      <c r="K965" s="276"/>
      <c r="N965" s="276"/>
      <c r="T965" s="277"/>
      <c r="Z965" s="278"/>
    </row>
    <row r="966" ht="15.75" customHeight="1">
      <c r="D966" s="158"/>
      <c r="G966" s="158"/>
      <c r="K966" s="276"/>
      <c r="N966" s="276"/>
      <c r="T966" s="277"/>
      <c r="Z966" s="278"/>
    </row>
    <row r="967" ht="15.75" customHeight="1">
      <c r="D967" s="158"/>
      <c r="G967" s="158"/>
      <c r="K967" s="276"/>
      <c r="N967" s="276"/>
      <c r="T967" s="277"/>
      <c r="Z967" s="278"/>
    </row>
    <row r="968" ht="15.75" customHeight="1">
      <c r="D968" s="158"/>
      <c r="G968" s="158"/>
      <c r="K968" s="276"/>
      <c r="N968" s="276"/>
      <c r="T968" s="277"/>
      <c r="Z968" s="278"/>
    </row>
    <row r="969" ht="15.75" customHeight="1">
      <c r="D969" s="158"/>
      <c r="G969" s="158"/>
      <c r="K969" s="276"/>
      <c r="N969" s="276"/>
      <c r="T969" s="277"/>
      <c r="Z969" s="278"/>
    </row>
    <row r="970" ht="15.75" customHeight="1">
      <c r="D970" s="158"/>
      <c r="G970" s="158"/>
      <c r="K970" s="276"/>
      <c r="N970" s="276"/>
      <c r="T970" s="277"/>
      <c r="Z970" s="278"/>
    </row>
    <row r="971" ht="15.75" customHeight="1">
      <c r="D971" s="158"/>
      <c r="G971" s="158"/>
      <c r="K971" s="276"/>
      <c r="N971" s="276"/>
      <c r="T971" s="277"/>
      <c r="Z971" s="278"/>
    </row>
    <row r="972" ht="15.75" customHeight="1">
      <c r="D972" s="158"/>
      <c r="G972" s="158"/>
      <c r="K972" s="276"/>
      <c r="N972" s="276"/>
      <c r="T972" s="277"/>
      <c r="Z972" s="278"/>
    </row>
    <row r="973" ht="15.75" customHeight="1">
      <c r="D973" s="158"/>
      <c r="G973" s="158"/>
      <c r="K973" s="276"/>
      <c r="N973" s="276"/>
      <c r="T973" s="277"/>
      <c r="Z973" s="278"/>
    </row>
    <row r="974" ht="15.75" customHeight="1">
      <c r="D974" s="158"/>
      <c r="G974" s="158"/>
      <c r="K974" s="276"/>
      <c r="N974" s="276"/>
      <c r="T974" s="277"/>
      <c r="Z974" s="278"/>
    </row>
    <row r="975" ht="15.75" customHeight="1">
      <c r="D975" s="158"/>
      <c r="G975" s="158"/>
      <c r="K975" s="276"/>
      <c r="N975" s="276"/>
      <c r="T975" s="277"/>
      <c r="Z975" s="278"/>
    </row>
    <row r="976" ht="15.75" customHeight="1">
      <c r="D976" s="158"/>
      <c r="G976" s="158"/>
      <c r="K976" s="276"/>
      <c r="N976" s="276"/>
      <c r="T976" s="277"/>
      <c r="Z976" s="278"/>
    </row>
    <row r="977" ht="15.75" customHeight="1">
      <c r="D977" s="158"/>
      <c r="G977" s="158"/>
      <c r="K977" s="276"/>
      <c r="N977" s="276"/>
      <c r="T977" s="277"/>
      <c r="Z977" s="278"/>
    </row>
    <row r="978" ht="15.75" customHeight="1">
      <c r="D978" s="158"/>
      <c r="G978" s="158"/>
      <c r="K978" s="276"/>
      <c r="N978" s="276"/>
      <c r="T978" s="277"/>
      <c r="Z978" s="278"/>
    </row>
    <row r="979" ht="15.75" customHeight="1">
      <c r="D979" s="158"/>
      <c r="G979" s="158"/>
      <c r="K979" s="276"/>
      <c r="N979" s="276"/>
      <c r="T979" s="277"/>
      <c r="Z979" s="278"/>
    </row>
    <row r="980" ht="15.75" customHeight="1">
      <c r="D980" s="158"/>
      <c r="G980" s="158"/>
      <c r="K980" s="276"/>
      <c r="N980" s="276"/>
      <c r="T980" s="277"/>
      <c r="Z980" s="278"/>
    </row>
    <row r="981" ht="15.75" customHeight="1">
      <c r="D981" s="158"/>
      <c r="G981" s="158"/>
      <c r="K981" s="276"/>
      <c r="N981" s="276"/>
      <c r="T981" s="277"/>
      <c r="Z981" s="278"/>
    </row>
    <row r="982" ht="15.75" customHeight="1">
      <c r="D982" s="158"/>
      <c r="G982" s="158"/>
      <c r="K982" s="276"/>
      <c r="N982" s="276"/>
      <c r="T982" s="277"/>
      <c r="Z982" s="278"/>
    </row>
    <row r="983" ht="15.75" customHeight="1">
      <c r="D983" s="158"/>
      <c r="G983" s="158"/>
      <c r="K983" s="276"/>
      <c r="N983" s="276"/>
      <c r="T983" s="277"/>
      <c r="Z983" s="278"/>
    </row>
    <row r="984" ht="15.75" customHeight="1">
      <c r="D984" s="158"/>
      <c r="G984" s="158"/>
      <c r="K984" s="276"/>
      <c r="N984" s="276"/>
      <c r="T984" s="277"/>
      <c r="Z984" s="278"/>
    </row>
    <row r="985" ht="15.75" customHeight="1">
      <c r="D985" s="158"/>
      <c r="G985" s="158"/>
      <c r="K985" s="276"/>
      <c r="N985" s="276"/>
      <c r="T985" s="277"/>
      <c r="Z985" s="278"/>
    </row>
    <row r="986" ht="15.75" customHeight="1">
      <c r="D986" s="158"/>
      <c r="G986" s="158"/>
      <c r="K986" s="276"/>
      <c r="N986" s="276"/>
      <c r="T986" s="277"/>
      <c r="Z986" s="278"/>
    </row>
    <row r="987" ht="15.75" customHeight="1">
      <c r="D987" s="158"/>
      <c r="G987" s="158"/>
      <c r="K987" s="276"/>
      <c r="N987" s="276"/>
      <c r="T987" s="277"/>
      <c r="Z987" s="278"/>
    </row>
    <row r="988" ht="15.75" customHeight="1">
      <c r="D988" s="158"/>
      <c r="G988" s="158"/>
      <c r="K988" s="276"/>
      <c r="N988" s="276"/>
      <c r="T988" s="277"/>
      <c r="Z988" s="278"/>
    </row>
    <row r="989" ht="15.75" customHeight="1">
      <c r="D989" s="158"/>
      <c r="G989" s="158"/>
      <c r="K989" s="276"/>
      <c r="N989" s="276"/>
      <c r="T989" s="277"/>
      <c r="Z989" s="278"/>
    </row>
    <row r="990" ht="15.75" customHeight="1">
      <c r="D990" s="158"/>
      <c r="G990" s="158"/>
      <c r="K990" s="276"/>
      <c r="N990" s="276"/>
      <c r="T990" s="277"/>
      <c r="Z990" s="278"/>
    </row>
    <row r="991" ht="15.75" customHeight="1">
      <c r="D991" s="158"/>
      <c r="G991" s="158"/>
      <c r="K991" s="276"/>
      <c r="N991" s="276"/>
      <c r="T991" s="277"/>
      <c r="Z991" s="278"/>
    </row>
    <row r="992" ht="15.75" customHeight="1">
      <c r="D992" s="158"/>
      <c r="G992" s="158"/>
      <c r="K992" s="276"/>
      <c r="N992" s="276"/>
      <c r="T992" s="277"/>
      <c r="Z992" s="278"/>
    </row>
    <row r="993" ht="15.75" customHeight="1">
      <c r="D993" s="158"/>
      <c r="G993" s="158"/>
      <c r="K993" s="276"/>
      <c r="N993" s="276"/>
      <c r="T993" s="277"/>
      <c r="Z993" s="278"/>
    </row>
    <row r="994" ht="15.75" customHeight="1">
      <c r="D994" s="158"/>
      <c r="G994" s="158"/>
      <c r="K994" s="276"/>
      <c r="N994" s="276"/>
      <c r="T994" s="277"/>
      <c r="Z994" s="278"/>
    </row>
    <row r="995" ht="15.75" customHeight="1">
      <c r="D995" s="158"/>
      <c r="G995" s="158"/>
      <c r="K995" s="276"/>
      <c r="N995" s="276"/>
      <c r="T995" s="277"/>
      <c r="Z995" s="278"/>
    </row>
    <row r="996" ht="15.75" customHeight="1">
      <c r="D996" s="158"/>
      <c r="G996" s="158"/>
      <c r="K996" s="276"/>
      <c r="N996" s="276"/>
      <c r="T996" s="277"/>
      <c r="Z996" s="278"/>
    </row>
    <row r="997" ht="15.75" customHeight="1">
      <c r="D997" s="158"/>
      <c r="G997" s="158"/>
      <c r="K997" s="276"/>
      <c r="N997" s="276"/>
      <c r="T997" s="277"/>
      <c r="Z997" s="278"/>
    </row>
    <row r="998" ht="15.75" customHeight="1">
      <c r="D998" s="158"/>
      <c r="G998" s="158"/>
      <c r="K998" s="276"/>
      <c r="N998" s="276"/>
      <c r="T998" s="277"/>
      <c r="Z998" s="278"/>
    </row>
    <row r="999" ht="15.75" customHeight="1">
      <c r="D999" s="158"/>
      <c r="G999" s="158"/>
      <c r="K999" s="276"/>
      <c r="N999" s="276"/>
      <c r="T999" s="277"/>
      <c r="Z999" s="278"/>
    </row>
    <row r="1000" ht="15.75" customHeight="1">
      <c r="D1000" s="158"/>
      <c r="G1000" s="158"/>
      <c r="K1000" s="276"/>
      <c r="N1000" s="276"/>
      <c r="T1000" s="277"/>
      <c r="Z1000" s="278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400" t="s">
        <v>139</v>
      </c>
      <c r="B1" s="400" t="s">
        <v>140</v>
      </c>
      <c r="C1" s="400" t="s">
        <v>141</v>
      </c>
      <c r="D1" s="401" t="s">
        <v>10</v>
      </c>
      <c r="E1" s="400" t="s">
        <v>17</v>
      </c>
      <c r="F1" s="402" t="s">
        <v>148</v>
      </c>
      <c r="G1" s="400" t="s">
        <v>33</v>
      </c>
      <c r="H1" s="400" t="s">
        <v>41</v>
      </c>
      <c r="I1" s="403" t="s">
        <v>127</v>
      </c>
      <c r="J1" s="400" t="s">
        <v>66</v>
      </c>
      <c r="K1" s="400" t="s">
        <v>142</v>
      </c>
      <c r="L1" s="400" t="s">
        <v>59</v>
      </c>
      <c r="M1" s="400" t="s">
        <v>67</v>
      </c>
      <c r="N1" s="403" t="s">
        <v>74</v>
      </c>
      <c r="O1" s="403" t="s">
        <v>76</v>
      </c>
      <c r="Q1" s="404"/>
      <c r="R1" s="404"/>
      <c r="S1" s="404"/>
      <c r="T1" s="404"/>
      <c r="U1" s="404"/>
      <c r="V1" s="404"/>
      <c r="W1" s="404"/>
      <c r="X1" s="404"/>
      <c r="Y1" s="404"/>
      <c r="Z1" s="404"/>
      <c r="AA1" s="404"/>
      <c r="AB1" s="404"/>
    </row>
    <row r="2">
      <c r="A2" s="24" t="s">
        <v>131</v>
      </c>
      <c r="B2" s="405">
        <f>'Period Store Scorecards '!AJ3</f>
        <v>2.8615</v>
      </c>
      <c r="C2" s="406" t="str">
        <f t="shared" ref="C2:C7" si="1">IFS(B2&lt;1.7,"Non", B2&lt;2.7,"Low", B2&lt;3.7,"Contributor", B2&lt;4.7,"High", TRUE,"STAR")</f>
        <v>Contributor</v>
      </c>
      <c r="D2" s="407">
        <f>'Period Store Scorecards '!B3</f>
        <v>0.8053074535</v>
      </c>
      <c r="E2" s="407">
        <f>'Period Store Scorecards '!E3</f>
        <v>0.754578293</v>
      </c>
      <c r="F2" s="408" t="str">
        <f>'Period Store Scorecards '!H3</f>
        <v>#DIV/0!</v>
      </c>
      <c r="G2" s="409">
        <f>'Period Store Scorecards '!K3</f>
        <v>-0.5</v>
      </c>
      <c r="H2" s="409">
        <f>'Period Store Scorecards '!N3</f>
        <v>4.7</v>
      </c>
      <c r="I2" s="410">
        <f>'Period Store Scorecards '!Q3</f>
        <v>5</v>
      </c>
      <c r="J2" s="411">
        <f>'Period Store Scorecards '!Z3</f>
        <v>4</v>
      </c>
      <c r="K2" s="412">
        <f>'Period Store Scorecards '!T3</f>
        <v>0.0405</v>
      </c>
      <c r="L2" s="413">
        <f>'Period Store Scorecards '!W3</f>
        <v>0.57</v>
      </c>
      <c r="M2" s="414">
        <f>'Period Store Scorecards '!AC3</f>
        <v>92</v>
      </c>
      <c r="N2" s="414">
        <f>'Period Store Scorecards '!AF3</f>
        <v>90</v>
      </c>
      <c r="O2" s="415">
        <f>'Period Store Scorecards '!AI3</f>
        <v>0.85</v>
      </c>
    </row>
    <row r="3">
      <c r="A3" s="13" t="s">
        <v>132</v>
      </c>
      <c r="B3" s="405">
        <f>'Period Store Scorecards '!AJ4</f>
        <v>3.489</v>
      </c>
      <c r="C3" s="406" t="str">
        <f t="shared" si="1"/>
        <v>Contributor</v>
      </c>
      <c r="D3" s="407">
        <f>'Period Store Scorecards '!B4</f>
        <v>1.057140652</v>
      </c>
      <c r="E3" s="407">
        <f>'Period Store Scorecards '!E4</f>
        <v>1.481524028</v>
      </c>
      <c r="F3" s="408" t="str">
        <f>'Period Store Scorecards '!H4</f>
        <v>#DIV/0!</v>
      </c>
      <c r="G3" s="409">
        <f>'Period Store Scorecards '!K4</f>
        <v>-5.9</v>
      </c>
      <c r="H3" s="409">
        <f>'Period Store Scorecards '!N4</f>
        <v>1.6</v>
      </c>
      <c r="I3" s="410">
        <f>'Period Store Scorecards '!Q4</f>
        <v>4.67</v>
      </c>
      <c r="J3" s="411">
        <f>'Period Store Scorecards '!Z4</f>
        <v>4.4</v>
      </c>
      <c r="K3" s="412">
        <f>'Period Store Scorecards '!T4</f>
        <v>0.0315</v>
      </c>
      <c r="L3" s="413">
        <f>'Period Store Scorecards '!W4</f>
        <v>1.48</v>
      </c>
      <c r="M3" s="414">
        <f>'Period Store Scorecards '!AC4</f>
        <v>88</v>
      </c>
      <c r="N3" s="414">
        <f>'Period Store Scorecards '!AF4</f>
        <v>86</v>
      </c>
      <c r="O3" s="415">
        <f>'Period Store Scorecards '!AI4</f>
        <v>0.87</v>
      </c>
    </row>
    <row r="4">
      <c r="A4" s="13" t="s">
        <v>133</v>
      </c>
      <c r="B4" s="405">
        <f>'Period Store Scorecards '!AJ5</f>
        <v>2.444</v>
      </c>
      <c r="C4" s="406" t="str">
        <f t="shared" si="1"/>
        <v>Low</v>
      </c>
      <c r="D4" s="407">
        <f>'Period Store Scorecards '!B5</f>
        <v>0.7913728096</v>
      </c>
      <c r="E4" s="407">
        <f>'Period Store Scorecards '!E5</f>
        <v>1.196082061</v>
      </c>
      <c r="F4" s="408" t="str">
        <f>'Period Store Scorecards '!H5</f>
        <v>#DIV/0!</v>
      </c>
      <c r="G4" s="409">
        <f>'Period Store Scorecards '!K5</f>
        <v>0</v>
      </c>
      <c r="H4" s="409">
        <f>'Period Store Scorecards '!N5</f>
        <v>1.3</v>
      </c>
      <c r="I4" s="410">
        <f>'Period Store Scorecards '!Q5</f>
        <v>3</v>
      </c>
      <c r="J4" s="411">
        <f>'Period Store Scorecards '!Z5</f>
        <v>4.5</v>
      </c>
      <c r="K4" s="412">
        <f>'Period Store Scorecards '!T5</f>
        <v>0.0264</v>
      </c>
      <c r="L4" s="413">
        <f>'Period Store Scorecards '!W5</f>
        <v>0.59</v>
      </c>
      <c r="M4" s="414">
        <f>'Period Store Scorecards '!AC5</f>
        <v>91</v>
      </c>
      <c r="N4" s="414">
        <f>'Period Store Scorecards '!AF5</f>
        <v>93</v>
      </c>
      <c r="O4" s="415">
        <f>'Period Store Scorecards '!AI5</f>
        <v>0.93</v>
      </c>
    </row>
    <row r="5">
      <c r="A5" s="13" t="s">
        <v>134</v>
      </c>
      <c r="B5" s="405">
        <f>'Period Store Scorecards '!AJ6</f>
        <v>1.971</v>
      </c>
      <c r="C5" s="406" t="str">
        <f t="shared" si="1"/>
        <v>Low</v>
      </c>
      <c r="D5" s="407">
        <f>'Period Store Scorecards '!B6</f>
        <v>0.8703104349</v>
      </c>
      <c r="E5" s="407">
        <f>'Period Store Scorecards '!E6</f>
        <v>1.021909008</v>
      </c>
      <c r="F5" s="408" t="str">
        <f>'Period Store Scorecards '!H6</f>
        <v>#DIV/0!</v>
      </c>
      <c r="G5" s="409">
        <f>'Period Store Scorecards '!K6</f>
        <v>3.2</v>
      </c>
      <c r="H5" s="409">
        <f>'Period Store Scorecards '!N6</f>
        <v>2.7</v>
      </c>
      <c r="I5" s="410">
        <f>'Period Store Scorecards '!Q6</f>
        <v>4.33</v>
      </c>
      <c r="J5" s="411">
        <f>'Period Store Scorecards '!Z6</f>
        <v>4.3</v>
      </c>
      <c r="K5" s="412">
        <f>'Period Store Scorecards '!T6</f>
        <v>0.0315</v>
      </c>
      <c r="L5" s="413">
        <f>'Period Store Scorecards '!W6</f>
        <v>1.14</v>
      </c>
      <c r="M5" s="414">
        <f>'Period Store Scorecards '!AC6</f>
        <v>78</v>
      </c>
      <c r="N5" s="414">
        <f>'Period Store Scorecards '!AF6</f>
        <v>75</v>
      </c>
      <c r="O5" s="415">
        <f>'Period Store Scorecards '!AI6</f>
        <v>0.8</v>
      </c>
    </row>
    <row r="6">
      <c r="A6" s="24" t="s">
        <v>135</v>
      </c>
      <c r="B6" s="405">
        <f>'Period Store Scorecards '!AJ7</f>
        <v>2.0765</v>
      </c>
      <c r="C6" s="406" t="str">
        <f t="shared" si="1"/>
        <v>Low</v>
      </c>
      <c r="D6" s="407">
        <f>'Period Store Scorecards '!B7</f>
        <v>0.7840265131</v>
      </c>
      <c r="E6" s="407">
        <f>'Period Store Scorecards '!E7</f>
        <v>1.084955287</v>
      </c>
      <c r="F6" s="408" t="str">
        <f>'Period Store Scorecards '!H7</f>
        <v>#DIV/0!</v>
      </c>
      <c r="G6" s="409">
        <f>'Period Store Scorecards '!K7</f>
        <v>4.5</v>
      </c>
      <c r="H6" s="409">
        <f>'Period Store Scorecards '!N7</f>
        <v>2</v>
      </c>
      <c r="I6" s="410">
        <f>'Period Store Scorecards '!Q7</f>
        <v>4.47</v>
      </c>
      <c r="J6" s="411">
        <f>'Period Store Scorecards '!Z7</f>
        <v>4.3</v>
      </c>
      <c r="K6" s="412">
        <f>'Period Store Scorecards '!T7</f>
        <v>0.045</v>
      </c>
      <c r="L6" s="413">
        <f>'Period Store Scorecards '!W7</f>
        <v>2.03</v>
      </c>
      <c r="M6" s="414">
        <f>'Period Store Scorecards '!AC7</f>
        <v>77</v>
      </c>
      <c r="N6" s="414">
        <f>'Period Store Scorecards '!AF7</f>
        <v>74</v>
      </c>
      <c r="O6" s="415">
        <f>'Period Store Scorecards '!AI7</f>
        <v>0.78</v>
      </c>
    </row>
    <row r="7">
      <c r="A7" s="416" t="s">
        <v>136</v>
      </c>
      <c r="B7" s="417">
        <f>'Period Store Scorecards '!AJ8</f>
        <v>2.632</v>
      </c>
      <c r="C7" s="418" t="str">
        <f t="shared" si="1"/>
        <v>Low</v>
      </c>
      <c r="D7" s="419">
        <f>'Period Store Scorecards '!B8</f>
        <v>0.853896842</v>
      </c>
      <c r="E7" s="419">
        <f>'Period Store Scorecards '!E8</f>
        <v>1.107363436</v>
      </c>
      <c r="F7" s="420" t="str">
        <f>'Period Store Scorecards '!H8</f>
        <v>#DIV/0!</v>
      </c>
      <c r="G7" s="421">
        <f>'Period Store Scorecards '!K8</f>
        <v>0</v>
      </c>
      <c r="H7" s="421">
        <f>'Period Store Scorecards '!N8</f>
        <v>2.2</v>
      </c>
      <c r="I7" s="422">
        <f>'Period Store Scorecards '!Q8</f>
        <v>4.294</v>
      </c>
      <c r="J7" s="423">
        <f>'Period Store Scorecards '!Z8</f>
        <v>4.3</v>
      </c>
      <c r="K7" s="424">
        <f>'Period Store Scorecards '!T8</f>
        <v>0.03498</v>
      </c>
      <c r="L7" s="425">
        <f>'Period Store Scorecards '!W8</f>
        <v>1.19</v>
      </c>
      <c r="M7" s="426">
        <f>'Period Store Scorecards '!AC8</f>
        <v>85.2</v>
      </c>
      <c r="N7" s="426">
        <f>'Period Store Scorecards '!AF8</f>
        <v>83.6</v>
      </c>
      <c r="O7" s="427">
        <f>'Period Store Scorecards '!AI8</f>
        <v>0.846</v>
      </c>
    </row>
    <row r="8">
      <c r="A8" s="3"/>
      <c r="B8" s="197"/>
      <c r="C8" s="197"/>
      <c r="D8" s="412"/>
      <c r="E8" s="197"/>
      <c r="F8" s="197"/>
      <c r="G8" s="197"/>
      <c r="H8" s="197"/>
    </row>
    <row r="9">
      <c r="A9" s="198"/>
      <c r="B9" s="199"/>
      <c r="C9" s="197"/>
      <c r="D9" s="412"/>
      <c r="E9" s="197"/>
      <c r="F9" s="197"/>
      <c r="G9" s="197"/>
      <c r="H9" s="197"/>
    </row>
    <row r="10">
      <c r="A10" s="200"/>
      <c r="B10" s="428"/>
      <c r="C10" s="204"/>
      <c r="D10" s="429"/>
      <c r="E10" s="204"/>
      <c r="F10" s="204"/>
      <c r="G10" s="204"/>
      <c r="H10" s="204"/>
    </row>
    <row r="11">
      <c r="D11" s="279"/>
      <c r="F11" s="209"/>
      <c r="N11" s="281"/>
      <c r="O11" s="281"/>
    </row>
    <row r="12">
      <c r="B12" s="204"/>
      <c r="C12" s="204"/>
      <c r="D12" s="429"/>
      <c r="E12" s="204"/>
      <c r="F12" s="204"/>
      <c r="G12" s="204"/>
      <c r="H12" s="204"/>
    </row>
    <row r="13">
      <c r="B13" s="204"/>
      <c r="C13" s="204"/>
      <c r="D13" s="429"/>
      <c r="E13" s="204"/>
      <c r="F13" s="204"/>
      <c r="G13" s="204"/>
      <c r="H13" s="204"/>
    </row>
    <row r="14">
      <c r="B14" s="204"/>
      <c r="C14" s="204"/>
      <c r="D14" s="429"/>
      <c r="E14" s="204"/>
      <c r="F14" s="204"/>
      <c r="G14" s="204"/>
      <c r="H14" s="204"/>
    </row>
    <row r="15">
      <c r="B15" s="204"/>
      <c r="C15" s="204"/>
      <c r="D15" s="429"/>
      <c r="E15" s="204"/>
      <c r="F15" s="204"/>
      <c r="G15" s="204"/>
      <c r="H15" s="204"/>
    </row>
    <row r="16">
      <c r="B16" s="204"/>
      <c r="C16" s="204"/>
      <c r="D16" s="429"/>
      <c r="E16" s="204"/>
      <c r="F16" s="204"/>
      <c r="G16" s="204"/>
      <c r="H16" s="204"/>
    </row>
    <row r="17">
      <c r="D17" s="279"/>
    </row>
    <row r="18">
      <c r="D18" s="279"/>
    </row>
    <row r="19">
      <c r="D19" s="279"/>
    </row>
    <row r="20">
      <c r="D20" s="279"/>
    </row>
    <row r="21" ht="15.75" customHeight="1">
      <c r="D21" s="279"/>
    </row>
    <row r="22" ht="15.75" customHeight="1">
      <c r="D22" s="279"/>
    </row>
    <row r="23" ht="15.75" customHeight="1">
      <c r="D23" s="279"/>
    </row>
    <row r="24" ht="15.75" customHeight="1">
      <c r="D24" s="279"/>
    </row>
    <row r="25" ht="15.75" customHeight="1">
      <c r="D25" s="279"/>
    </row>
    <row r="26" ht="15.75" customHeight="1">
      <c r="D26" s="279"/>
    </row>
    <row r="27" ht="15.75" customHeight="1">
      <c r="D27" s="279"/>
    </row>
    <row r="28" ht="15.75" customHeight="1">
      <c r="D28" s="279"/>
    </row>
    <row r="29" ht="15.75" customHeight="1">
      <c r="D29" s="279"/>
    </row>
    <row r="30" ht="15.75" customHeight="1">
      <c r="D30" s="279"/>
    </row>
    <row r="31" ht="15.75" customHeight="1">
      <c r="D31" s="279"/>
    </row>
    <row r="32" ht="15.75" customHeight="1">
      <c r="D32" s="279"/>
    </row>
    <row r="33" ht="15.75" customHeight="1">
      <c r="D33" s="279"/>
    </row>
    <row r="34" ht="15.75" customHeight="1">
      <c r="D34" s="279"/>
    </row>
    <row r="35" ht="15.75" customHeight="1">
      <c r="D35" s="279"/>
    </row>
    <row r="36" ht="15.75" customHeight="1">
      <c r="D36" s="279"/>
    </row>
    <row r="37" ht="15.75" customHeight="1">
      <c r="D37" s="279"/>
    </row>
    <row r="38" ht="15.75" customHeight="1">
      <c r="D38" s="279"/>
    </row>
    <row r="39" ht="15.75" customHeight="1">
      <c r="D39" s="279"/>
    </row>
    <row r="40" ht="15.75" customHeight="1">
      <c r="D40" s="279"/>
    </row>
    <row r="41" ht="15.75" customHeight="1">
      <c r="D41" s="279"/>
    </row>
    <row r="42" ht="15.75" customHeight="1">
      <c r="D42" s="279"/>
    </row>
    <row r="43" ht="15.75" customHeight="1">
      <c r="D43" s="279"/>
    </row>
    <row r="44" ht="15.75" customHeight="1">
      <c r="D44" s="279"/>
    </row>
    <row r="45" ht="15.75" customHeight="1">
      <c r="D45" s="279"/>
    </row>
    <row r="46" ht="15.75" customHeight="1">
      <c r="D46" s="279"/>
    </row>
    <row r="47" ht="15.75" customHeight="1">
      <c r="D47" s="279"/>
    </row>
    <row r="48" ht="15.75" customHeight="1">
      <c r="D48" s="279"/>
    </row>
    <row r="49" ht="15.75" customHeight="1">
      <c r="D49" s="279"/>
    </row>
    <row r="50" ht="15.75" customHeight="1">
      <c r="D50" s="279"/>
    </row>
    <row r="51" ht="15.75" customHeight="1">
      <c r="D51" s="279"/>
    </row>
    <row r="52" ht="15.75" customHeight="1">
      <c r="D52" s="279"/>
    </row>
    <row r="53" ht="15.75" customHeight="1">
      <c r="D53" s="279"/>
    </row>
    <row r="54" ht="15.75" customHeight="1">
      <c r="D54" s="279"/>
    </row>
    <row r="55" ht="15.75" customHeight="1">
      <c r="D55" s="279"/>
    </row>
    <row r="56" ht="15.75" customHeight="1">
      <c r="D56" s="279"/>
    </row>
    <row r="57" ht="15.75" customHeight="1">
      <c r="D57" s="279"/>
    </row>
    <row r="58" ht="15.75" customHeight="1">
      <c r="D58" s="279"/>
    </row>
    <row r="59" ht="15.75" customHeight="1">
      <c r="D59" s="279"/>
    </row>
    <row r="60" ht="15.75" customHeight="1">
      <c r="D60" s="279"/>
    </row>
    <row r="61" ht="15.75" customHeight="1">
      <c r="D61" s="279"/>
    </row>
    <row r="62" ht="15.75" customHeight="1">
      <c r="D62" s="279"/>
    </row>
    <row r="63" ht="15.75" customHeight="1">
      <c r="D63" s="279"/>
    </row>
    <row r="64" ht="15.75" customHeight="1">
      <c r="D64" s="279"/>
    </row>
    <row r="65" ht="15.75" customHeight="1">
      <c r="D65" s="279"/>
    </row>
    <row r="66" ht="15.75" customHeight="1">
      <c r="D66" s="279"/>
    </row>
    <row r="67" ht="15.75" customHeight="1">
      <c r="D67" s="279"/>
    </row>
    <row r="68" ht="15.75" customHeight="1">
      <c r="D68" s="279"/>
    </row>
    <row r="69" ht="15.75" customHeight="1">
      <c r="D69" s="279"/>
    </row>
    <row r="70" ht="15.75" customHeight="1">
      <c r="D70" s="279"/>
    </row>
    <row r="71" ht="15.75" customHeight="1">
      <c r="D71" s="279"/>
    </row>
    <row r="72" ht="15.75" customHeight="1">
      <c r="D72" s="279"/>
    </row>
    <row r="73" ht="15.75" customHeight="1">
      <c r="D73" s="279"/>
    </row>
    <row r="74" ht="15.75" customHeight="1">
      <c r="D74" s="279"/>
    </row>
    <row r="75" ht="15.75" customHeight="1">
      <c r="D75" s="279"/>
    </row>
    <row r="76" ht="15.75" customHeight="1">
      <c r="D76" s="279"/>
    </row>
    <row r="77" ht="15.75" customHeight="1">
      <c r="D77" s="279"/>
    </row>
    <row r="78" ht="15.75" customHeight="1">
      <c r="D78" s="279"/>
    </row>
    <row r="79" ht="15.75" customHeight="1">
      <c r="D79" s="279"/>
    </row>
    <row r="80" ht="15.75" customHeight="1">
      <c r="D80" s="279"/>
    </row>
    <row r="81" ht="15.75" customHeight="1">
      <c r="D81" s="279"/>
    </row>
    <row r="82" ht="15.75" customHeight="1">
      <c r="D82" s="279"/>
    </row>
    <row r="83" ht="15.75" customHeight="1">
      <c r="D83" s="279"/>
    </row>
    <row r="84" ht="15.75" customHeight="1">
      <c r="D84" s="279"/>
    </row>
    <row r="85" ht="15.75" customHeight="1">
      <c r="D85" s="279"/>
    </row>
    <row r="86" ht="15.75" customHeight="1">
      <c r="D86" s="279"/>
    </row>
    <row r="87" ht="15.75" customHeight="1">
      <c r="D87" s="279"/>
    </row>
    <row r="88" ht="15.75" customHeight="1">
      <c r="D88" s="279"/>
    </row>
    <row r="89" ht="15.75" customHeight="1">
      <c r="D89" s="279"/>
    </row>
    <row r="90" ht="15.75" customHeight="1">
      <c r="D90" s="279"/>
    </row>
    <row r="91" ht="15.75" customHeight="1">
      <c r="D91" s="279"/>
    </row>
    <row r="92" ht="15.75" customHeight="1">
      <c r="D92" s="279"/>
    </row>
    <row r="93" ht="15.75" customHeight="1">
      <c r="D93" s="279"/>
    </row>
    <row r="94" ht="15.75" customHeight="1">
      <c r="D94" s="279"/>
    </row>
    <row r="95" ht="15.75" customHeight="1">
      <c r="D95" s="279"/>
    </row>
    <row r="96" ht="15.75" customHeight="1">
      <c r="D96" s="279"/>
    </row>
    <row r="97" ht="15.75" customHeight="1">
      <c r="D97" s="279"/>
    </row>
    <row r="98" ht="15.75" customHeight="1">
      <c r="D98" s="279"/>
    </row>
    <row r="99" ht="15.75" customHeight="1">
      <c r="D99" s="279"/>
    </row>
    <row r="100" ht="15.75" customHeight="1">
      <c r="D100" s="279"/>
    </row>
    <row r="101" ht="15.75" customHeight="1">
      <c r="D101" s="279"/>
    </row>
    <row r="102" ht="15.75" customHeight="1">
      <c r="D102" s="279"/>
    </row>
    <row r="103" ht="15.75" customHeight="1">
      <c r="D103" s="279"/>
    </row>
    <row r="104" ht="15.75" customHeight="1">
      <c r="D104" s="279"/>
    </row>
    <row r="105" ht="15.75" customHeight="1">
      <c r="D105" s="279"/>
    </row>
    <row r="106" ht="15.75" customHeight="1">
      <c r="D106" s="279"/>
    </row>
    <row r="107" ht="15.75" customHeight="1">
      <c r="D107" s="279"/>
    </row>
    <row r="108" ht="15.75" customHeight="1">
      <c r="D108" s="279"/>
    </row>
    <row r="109" ht="15.75" customHeight="1">
      <c r="D109" s="279"/>
    </row>
    <row r="110" ht="15.75" customHeight="1">
      <c r="D110" s="279"/>
    </row>
    <row r="111" ht="15.75" customHeight="1">
      <c r="D111" s="279"/>
    </row>
    <row r="112" ht="15.75" customHeight="1">
      <c r="D112" s="279"/>
    </row>
    <row r="113" ht="15.75" customHeight="1">
      <c r="D113" s="279"/>
    </row>
    <row r="114" ht="15.75" customHeight="1">
      <c r="D114" s="279"/>
    </row>
    <row r="115" ht="15.75" customHeight="1">
      <c r="D115" s="279"/>
    </row>
    <row r="116" ht="15.75" customHeight="1">
      <c r="D116" s="279"/>
    </row>
    <row r="117" ht="15.75" customHeight="1">
      <c r="D117" s="279"/>
    </row>
    <row r="118" ht="15.75" customHeight="1">
      <c r="D118" s="279"/>
    </row>
    <row r="119" ht="15.75" customHeight="1">
      <c r="D119" s="279"/>
    </row>
    <row r="120" ht="15.75" customHeight="1">
      <c r="D120" s="279"/>
    </row>
    <row r="121" ht="15.75" customHeight="1">
      <c r="D121" s="279"/>
    </row>
    <row r="122" ht="15.75" customHeight="1">
      <c r="D122" s="279"/>
    </row>
    <row r="123" ht="15.75" customHeight="1">
      <c r="D123" s="279"/>
    </row>
    <row r="124" ht="15.75" customHeight="1">
      <c r="D124" s="279"/>
    </row>
    <row r="125" ht="15.75" customHeight="1">
      <c r="D125" s="279"/>
    </row>
    <row r="126" ht="15.75" customHeight="1">
      <c r="D126" s="279"/>
    </row>
    <row r="127" ht="15.75" customHeight="1">
      <c r="D127" s="279"/>
    </row>
    <row r="128" ht="15.75" customHeight="1">
      <c r="D128" s="279"/>
    </row>
    <row r="129" ht="15.75" customHeight="1">
      <c r="D129" s="279"/>
    </row>
    <row r="130" ht="15.75" customHeight="1">
      <c r="D130" s="279"/>
    </row>
    <row r="131" ht="15.75" customHeight="1">
      <c r="D131" s="279"/>
    </row>
    <row r="132" ht="15.75" customHeight="1">
      <c r="D132" s="279"/>
    </row>
    <row r="133" ht="15.75" customHeight="1">
      <c r="D133" s="279"/>
    </row>
    <row r="134" ht="15.75" customHeight="1">
      <c r="D134" s="279"/>
    </row>
    <row r="135" ht="15.75" customHeight="1">
      <c r="D135" s="279"/>
    </row>
    <row r="136" ht="15.75" customHeight="1">
      <c r="D136" s="279"/>
    </row>
    <row r="137" ht="15.75" customHeight="1">
      <c r="D137" s="279"/>
    </row>
    <row r="138" ht="15.75" customHeight="1">
      <c r="D138" s="279"/>
    </row>
    <row r="139" ht="15.75" customHeight="1">
      <c r="D139" s="279"/>
    </row>
    <row r="140" ht="15.75" customHeight="1">
      <c r="D140" s="279"/>
    </row>
    <row r="141" ht="15.75" customHeight="1">
      <c r="D141" s="279"/>
    </row>
    <row r="142" ht="15.75" customHeight="1">
      <c r="D142" s="279"/>
    </row>
    <row r="143" ht="15.75" customHeight="1">
      <c r="D143" s="279"/>
    </row>
    <row r="144" ht="15.75" customHeight="1">
      <c r="D144" s="279"/>
    </row>
    <row r="145" ht="15.75" customHeight="1">
      <c r="D145" s="279"/>
    </row>
    <row r="146" ht="15.75" customHeight="1">
      <c r="D146" s="279"/>
    </row>
    <row r="147" ht="15.75" customHeight="1">
      <c r="D147" s="279"/>
    </row>
    <row r="148" ht="15.75" customHeight="1">
      <c r="D148" s="279"/>
    </row>
    <row r="149" ht="15.75" customHeight="1">
      <c r="D149" s="279"/>
    </row>
    <row r="150" ht="15.75" customHeight="1">
      <c r="D150" s="279"/>
    </row>
    <row r="151" ht="15.75" customHeight="1">
      <c r="D151" s="279"/>
    </row>
    <row r="152" ht="15.75" customHeight="1">
      <c r="D152" s="279"/>
    </row>
    <row r="153" ht="15.75" customHeight="1">
      <c r="D153" s="279"/>
    </row>
    <row r="154" ht="15.75" customHeight="1">
      <c r="D154" s="279"/>
    </row>
    <row r="155" ht="15.75" customHeight="1">
      <c r="D155" s="279"/>
    </row>
    <row r="156" ht="15.75" customHeight="1">
      <c r="D156" s="279"/>
    </row>
    <row r="157" ht="15.75" customHeight="1">
      <c r="D157" s="279"/>
    </row>
    <row r="158" ht="15.75" customHeight="1">
      <c r="D158" s="279"/>
    </row>
    <row r="159" ht="15.75" customHeight="1">
      <c r="D159" s="279"/>
    </row>
    <row r="160" ht="15.75" customHeight="1">
      <c r="D160" s="279"/>
    </row>
    <row r="161" ht="15.75" customHeight="1">
      <c r="D161" s="279"/>
    </row>
    <row r="162" ht="15.75" customHeight="1">
      <c r="D162" s="279"/>
    </row>
    <row r="163" ht="15.75" customHeight="1">
      <c r="D163" s="279"/>
    </row>
    <row r="164" ht="15.75" customHeight="1">
      <c r="D164" s="279"/>
    </row>
    <row r="165" ht="15.75" customHeight="1">
      <c r="D165" s="279"/>
    </row>
    <row r="166" ht="15.75" customHeight="1">
      <c r="D166" s="279"/>
    </row>
    <row r="167" ht="15.75" customHeight="1">
      <c r="D167" s="279"/>
    </row>
    <row r="168" ht="15.75" customHeight="1">
      <c r="D168" s="279"/>
    </row>
    <row r="169" ht="15.75" customHeight="1">
      <c r="D169" s="279"/>
    </row>
    <row r="170" ht="15.75" customHeight="1">
      <c r="D170" s="279"/>
    </row>
    <row r="171" ht="15.75" customHeight="1">
      <c r="D171" s="279"/>
    </row>
    <row r="172" ht="15.75" customHeight="1">
      <c r="D172" s="279"/>
    </row>
    <row r="173" ht="15.75" customHeight="1">
      <c r="D173" s="279"/>
    </row>
    <row r="174" ht="15.75" customHeight="1">
      <c r="D174" s="279"/>
    </row>
    <row r="175" ht="15.75" customHeight="1">
      <c r="D175" s="279"/>
    </row>
    <row r="176" ht="15.75" customHeight="1">
      <c r="D176" s="279"/>
    </row>
    <row r="177" ht="15.75" customHeight="1">
      <c r="D177" s="279"/>
    </row>
    <row r="178" ht="15.75" customHeight="1">
      <c r="D178" s="279"/>
    </row>
    <row r="179" ht="15.75" customHeight="1">
      <c r="D179" s="279"/>
    </row>
    <row r="180" ht="15.75" customHeight="1">
      <c r="D180" s="279"/>
    </row>
    <row r="181" ht="15.75" customHeight="1">
      <c r="D181" s="279"/>
    </row>
    <row r="182" ht="15.75" customHeight="1">
      <c r="D182" s="279"/>
    </row>
    <row r="183" ht="15.75" customHeight="1">
      <c r="D183" s="279"/>
    </row>
    <row r="184" ht="15.75" customHeight="1">
      <c r="D184" s="279"/>
    </row>
    <row r="185" ht="15.75" customHeight="1">
      <c r="D185" s="279"/>
    </row>
    <row r="186" ht="15.75" customHeight="1">
      <c r="D186" s="279"/>
    </row>
    <row r="187" ht="15.75" customHeight="1">
      <c r="D187" s="279"/>
    </row>
    <row r="188" ht="15.75" customHeight="1">
      <c r="D188" s="279"/>
    </row>
    <row r="189" ht="15.75" customHeight="1">
      <c r="D189" s="279"/>
    </row>
    <row r="190" ht="15.75" customHeight="1">
      <c r="D190" s="279"/>
    </row>
    <row r="191" ht="15.75" customHeight="1">
      <c r="D191" s="279"/>
    </row>
    <row r="192" ht="15.75" customHeight="1">
      <c r="D192" s="279"/>
    </row>
    <row r="193" ht="15.75" customHeight="1">
      <c r="D193" s="279"/>
    </row>
    <row r="194" ht="15.75" customHeight="1">
      <c r="D194" s="279"/>
    </row>
    <row r="195" ht="15.75" customHeight="1">
      <c r="D195" s="279"/>
    </row>
    <row r="196" ht="15.75" customHeight="1">
      <c r="D196" s="279"/>
    </row>
    <row r="197" ht="15.75" customHeight="1">
      <c r="D197" s="279"/>
    </row>
    <row r="198" ht="15.75" customHeight="1">
      <c r="D198" s="279"/>
    </row>
    <row r="199" ht="15.75" customHeight="1">
      <c r="D199" s="279"/>
    </row>
    <row r="200" ht="15.75" customHeight="1">
      <c r="D200" s="279"/>
    </row>
    <row r="201" ht="15.75" customHeight="1">
      <c r="D201" s="279"/>
    </row>
    <row r="202" ht="15.75" customHeight="1">
      <c r="D202" s="279"/>
    </row>
    <row r="203" ht="15.75" customHeight="1">
      <c r="D203" s="279"/>
    </row>
    <row r="204" ht="15.75" customHeight="1">
      <c r="D204" s="279"/>
    </row>
    <row r="205" ht="15.75" customHeight="1">
      <c r="D205" s="279"/>
    </row>
    <row r="206" ht="15.75" customHeight="1">
      <c r="D206" s="279"/>
    </row>
    <row r="207" ht="15.75" customHeight="1">
      <c r="D207" s="279"/>
    </row>
    <row r="208" ht="15.75" customHeight="1">
      <c r="D208" s="279"/>
    </row>
    <row r="209" ht="15.75" customHeight="1">
      <c r="D209" s="279"/>
    </row>
    <row r="210" ht="15.75" customHeight="1">
      <c r="D210" s="279"/>
    </row>
    <row r="211" ht="15.75" customHeight="1">
      <c r="D211" s="279"/>
    </row>
    <row r="212" ht="15.75" customHeight="1">
      <c r="D212" s="279"/>
    </row>
    <row r="213" ht="15.75" customHeight="1">
      <c r="D213" s="279"/>
    </row>
    <row r="214" ht="15.75" customHeight="1">
      <c r="D214" s="279"/>
    </row>
    <row r="215" ht="15.75" customHeight="1">
      <c r="D215" s="279"/>
    </row>
    <row r="216" ht="15.75" customHeight="1">
      <c r="D216" s="279"/>
    </row>
    <row r="217" ht="15.75" customHeight="1">
      <c r="D217" s="279"/>
    </row>
    <row r="218" ht="15.75" customHeight="1">
      <c r="D218" s="279"/>
    </row>
    <row r="219" ht="15.75" customHeight="1">
      <c r="D219" s="279"/>
    </row>
    <row r="220" ht="15.75" customHeight="1">
      <c r="D220" s="279"/>
    </row>
    <row r="221" ht="15.75" customHeight="1">
      <c r="D221" s="279"/>
    </row>
    <row r="222" ht="15.75" customHeight="1">
      <c r="D222" s="279"/>
    </row>
    <row r="223" ht="15.75" customHeight="1">
      <c r="D223" s="279"/>
    </row>
    <row r="224" ht="15.75" customHeight="1">
      <c r="D224" s="279"/>
    </row>
    <row r="225" ht="15.75" customHeight="1">
      <c r="D225" s="279"/>
    </row>
    <row r="226" ht="15.75" customHeight="1">
      <c r="D226" s="279"/>
    </row>
    <row r="227" ht="15.75" customHeight="1">
      <c r="D227" s="279"/>
    </row>
    <row r="228" ht="15.75" customHeight="1">
      <c r="D228" s="279"/>
    </row>
    <row r="229" ht="15.75" customHeight="1">
      <c r="D229" s="279"/>
    </row>
    <row r="230" ht="15.75" customHeight="1">
      <c r="D230" s="279"/>
    </row>
    <row r="231" ht="15.75" customHeight="1">
      <c r="D231" s="279"/>
    </row>
    <row r="232" ht="15.75" customHeight="1">
      <c r="D232" s="279"/>
    </row>
    <row r="233" ht="15.75" customHeight="1">
      <c r="D233" s="279"/>
    </row>
    <row r="234" ht="15.75" customHeight="1">
      <c r="D234" s="279"/>
    </row>
    <row r="235" ht="15.75" customHeight="1">
      <c r="D235" s="279"/>
    </row>
    <row r="236" ht="15.75" customHeight="1">
      <c r="D236" s="279"/>
    </row>
    <row r="237" ht="15.75" customHeight="1">
      <c r="D237" s="279"/>
    </row>
    <row r="238" ht="15.75" customHeight="1">
      <c r="D238" s="279"/>
    </row>
    <row r="239" ht="15.75" customHeight="1">
      <c r="D239" s="279"/>
    </row>
    <row r="240" ht="15.75" customHeight="1">
      <c r="D240" s="279"/>
    </row>
    <row r="241" ht="15.75" customHeight="1">
      <c r="D241" s="279"/>
    </row>
    <row r="242" ht="15.75" customHeight="1">
      <c r="D242" s="279"/>
    </row>
    <row r="243" ht="15.75" customHeight="1">
      <c r="D243" s="279"/>
    </row>
    <row r="244" ht="15.75" customHeight="1">
      <c r="D244" s="279"/>
    </row>
    <row r="245" ht="15.75" customHeight="1">
      <c r="D245" s="279"/>
    </row>
    <row r="246" ht="15.75" customHeight="1">
      <c r="D246" s="279"/>
    </row>
    <row r="247" ht="15.75" customHeight="1">
      <c r="D247" s="279"/>
    </row>
    <row r="248" ht="15.75" customHeight="1">
      <c r="D248" s="279"/>
    </row>
    <row r="249" ht="15.75" customHeight="1">
      <c r="D249" s="279"/>
    </row>
    <row r="250" ht="15.75" customHeight="1">
      <c r="D250" s="279"/>
    </row>
    <row r="251" ht="15.75" customHeight="1">
      <c r="D251" s="279"/>
    </row>
    <row r="252" ht="15.75" customHeight="1">
      <c r="D252" s="279"/>
    </row>
    <row r="253" ht="15.75" customHeight="1">
      <c r="D253" s="279"/>
    </row>
    <row r="254" ht="15.75" customHeight="1">
      <c r="D254" s="279"/>
    </row>
    <row r="255" ht="15.75" customHeight="1">
      <c r="D255" s="279"/>
    </row>
    <row r="256" ht="15.75" customHeight="1">
      <c r="D256" s="279"/>
    </row>
    <row r="257" ht="15.75" customHeight="1">
      <c r="D257" s="279"/>
    </row>
    <row r="258" ht="15.75" customHeight="1">
      <c r="D258" s="279"/>
    </row>
    <row r="259" ht="15.75" customHeight="1">
      <c r="D259" s="279"/>
    </row>
    <row r="260" ht="15.75" customHeight="1">
      <c r="D260" s="279"/>
    </row>
    <row r="261" ht="15.75" customHeight="1">
      <c r="D261" s="279"/>
    </row>
    <row r="262" ht="15.75" customHeight="1">
      <c r="D262" s="279"/>
    </row>
    <row r="263" ht="15.75" customHeight="1">
      <c r="D263" s="279"/>
    </row>
    <row r="264" ht="15.75" customHeight="1">
      <c r="D264" s="279"/>
    </row>
    <row r="265" ht="15.75" customHeight="1">
      <c r="D265" s="279"/>
    </row>
    <row r="266" ht="15.75" customHeight="1">
      <c r="D266" s="279"/>
    </row>
    <row r="267" ht="15.75" customHeight="1">
      <c r="D267" s="279"/>
    </row>
    <row r="268" ht="15.75" customHeight="1">
      <c r="D268" s="279"/>
    </row>
    <row r="269" ht="15.75" customHeight="1">
      <c r="D269" s="279"/>
    </row>
    <row r="270" ht="15.75" customHeight="1">
      <c r="D270" s="279"/>
    </row>
    <row r="271" ht="15.75" customHeight="1">
      <c r="D271" s="279"/>
    </row>
    <row r="272" ht="15.75" customHeight="1">
      <c r="D272" s="279"/>
    </row>
    <row r="273" ht="15.75" customHeight="1">
      <c r="D273" s="279"/>
    </row>
    <row r="274" ht="15.75" customHeight="1">
      <c r="D274" s="279"/>
    </row>
    <row r="275" ht="15.75" customHeight="1">
      <c r="D275" s="279"/>
    </row>
    <row r="276" ht="15.75" customHeight="1">
      <c r="D276" s="279"/>
    </row>
    <row r="277" ht="15.75" customHeight="1">
      <c r="D277" s="279"/>
    </row>
    <row r="278" ht="15.75" customHeight="1">
      <c r="D278" s="279"/>
    </row>
    <row r="279" ht="15.75" customHeight="1">
      <c r="D279" s="279"/>
    </row>
    <row r="280" ht="15.75" customHeight="1">
      <c r="D280" s="279"/>
    </row>
    <row r="281" ht="15.75" customHeight="1">
      <c r="D281" s="279"/>
    </row>
    <row r="282" ht="15.75" customHeight="1">
      <c r="D282" s="279"/>
    </row>
    <row r="283" ht="15.75" customHeight="1">
      <c r="D283" s="279"/>
    </row>
    <row r="284" ht="15.75" customHeight="1">
      <c r="D284" s="279"/>
    </row>
    <row r="285" ht="15.75" customHeight="1">
      <c r="D285" s="279"/>
    </row>
    <row r="286" ht="15.75" customHeight="1">
      <c r="D286" s="279"/>
    </row>
    <row r="287" ht="15.75" customHeight="1">
      <c r="D287" s="279"/>
    </row>
    <row r="288" ht="15.75" customHeight="1">
      <c r="D288" s="279"/>
    </row>
    <row r="289" ht="15.75" customHeight="1">
      <c r="D289" s="279"/>
    </row>
    <row r="290" ht="15.75" customHeight="1">
      <c r="D290" s="279"/>
    </row>
    <row r="291" ht="15.75" customHeight="1">
      <c r="D291" s="279"/>
    </row>
    <row r="292" ht="15.75" customHeight="1">
      <c r="D292" s="279"/>
    </row>
    <row r="293" ht="15.75" customHeight="1">
      <c r="D293" s="279"/>
    </row>
    <row r="294" ht="15.75" customHeight="1">
      <c r="D294" s="279"/>
    </row>
    <row r="295" ht="15.75" customHeight="1">
      <c r="D295" s="279"/>
    </row>
    <row r="296" ht="15.75" customHeight="1">
      <c r="D296" s="279"/>
    </row>
    <row r="297" ht="15.75" customHeight="1">
      <c r="D297" s="279"/>
    </row>
    <row r="298" ht="15.75" customHeight="1">
      <c r="D298" s="279"/>
    </row>
    <row r="299" ht="15.75" customHeight="1">
      <c r="D299" s="279"/>
    </row>
    <row r="300" ht="15.75" customHeight="1">
      <c r="D300" s="279"/>
    </row>
    <row r="301" ht="15.75" customHeight="1">
      <c r="D301" s="279"/>
    </row>
    <row r="302" ht="15.75" customHeight="1">
      <c r="D302" s="279"/>
    </row>
    <row r="303" ht="15.75" customHeight="1">
      <c r="D303" s="279"/>
    </row>
    <row r="304" ht="15.75" customHeight="1">
      <c r="D304" s="279"/>
    </row>
    <row r="305" ht="15.75" customHeight="1">
      <c r="D305" s="279"/>
    </row>
    <row r="306" ht="15.75" customHeight="1">
      <c r="D306" s="279"/>
    </row>
    <row r="307" ht="15.75" customHeight="1">
      <c r="D307" s="279"/>
    </row>
    <row r="308" ht="15.75" customHeight="1">
      <c r="D308" s="279"/>
    </row>
    <row r="309" ht="15.75" customHeight="1">
      <c r="D309" s="279"/>
    </row>
    <row r="310" ht="15.75" customHeight="1">
      <c r="D310" s="279"/>
    </row>
    <row r="311" ht="15.75" customHeight="1">
      <c r="D311" s="279"/>
    </row>
    <row r="312" ht="15.75" customHeight="1">
      <c r="D312" s="279"/>
    </row>
    <row r="313" ht="15.75" customHeight="1">
      <c r="D313" s="279"/>
    </row>
    <row r="314" ht="15.75" customHeight="1">
      <c r="D314" s="279"/>
    </row>
    <row r="315" ht="15.75" customHeight="1">
      <c r="D315" s="279"/>
    </row>
    <row r="316" ht="15.75" customHeight="1">
      <c r="D316" s="279"/>
    </row>
    <row r="317" ht="15.75" customHeight="1">
      <c r="D317" s="279"/>
    </row>
    <row r="318" ht="15.75" customHeight="1">
      <c r="D318" s="279"/>
    </row>
    <row r="319" ht="15.75" customHeight="1">
      <c r="D319" s="279"/>
    </row>
    <row r="320" ht="15.75" customHeight="1">
      <c r="D320" s="279"/>
    </row>
    <row r="321" ht="15.75" customHeight="1">
      <c r="D321" s="279"/>
    </row>
    <row r="322" ht="15.75" customHeight="1">
      <c r="D322" s="279"/>
    </row>
    <row r="323" ht="15.75" customHeight="1">
      <c r="D323" s="279"/>
    </row>
    <row r="324" ht="15.75" customHeight="1">
      <c r="D324" s="279"/>
    </row>
    <row r="325" ht="15.75" customHeight="1">
      <c r="D325" s="279"/>
    </row>
    <row r="326" ht="15.75" customHeight="1">
      <c r="D326" s="279"/>
    </row>
    <row r="327" ht="15.75" customHeight="1">
      <c r="D327" s="279"/>
    </row>
    <row r="328" ht="15.75" customHeight="1">
      <c r="D328" s="279"/>
    </row>
    <row r="329" ht="15.75" customHeight="1">
      <c r="D329" s="279"/>
    </row>
    <row r="330" ht="15.75" customHeight="1">
      <c r="D330" s="279"/>
    </row>
    <row r="331" ht="15.75" customHeight="1">
      <c r="D331" s="279"/>
    </row>
    <row r="332" ht="15.75" customHeight="1">
      <c r="D332" s="279"/>
    </row>
    <row r="333" ht="15.75" customHeight="1">
      <c r="D333" s="279"/>
    </row>
    <row r="334" ht="15.75" customHeight="1">
      <c r="D334" s="279"/>
    </row>
    <row r="335" ht="15.75" customHeight="1">
      <c r="D335" s="279"/>
    </row>
    <row r="336" ht="15.75" customHeight="1">
      <c r="D336" s="279"/>
    </row>
    <row r="337" ht="15.75" customHeight="1">
      <c r="D337" s="279"/>
    </row>
    <row r="338" ht="15.75" customHeight="1">
      <c r="D338" s="279"/>
    </row>
    <row r="339" ht="15.75" customHeight="1">
      <c r="D339" s="279"/>
    </row>
    <row r="340" ht="15.75" customHeight="1">
      <c r="D340" s="279"/>
    </row>
    <row r="341" ht="15.75" customHeight="1">
      <c r="D341" s="279"/>
    </row>
    <row r="342" ht="15.75" customHeight="1">
      <c r="D342" s="279"/>
    </row>
    <row r="343" ht="15.75" customHeight="1">
      <c r="D343" s="279"/>
    </row>
    <row r="344" ht="15.75" customHeight="1">
      <c r="D344" s="279"/>
    </row>
    <row r="345" ht="15.75" customHeight="1">
      <c r="D345" s="279"/>
    </row>
    <row r="346" ht="15.75" customHeight="1">
      <c r="D346" s="279"/>
    </row>
    <row r="347" ht="15.75" customHeight="1">
      <c r="D347" s="279"/>
    </row>
    <row r="348" ht="15.75" customHeight="1">
      <c r="D348" s="279"/>
    </row>
    <row r="349" ht="15.75" customHeight="1">
      <c r="D349" s="279"/>
    </row>
    <row r="350" ht="15.75" customHeight="1">
      <c r="D350" s="279"/>
    </row>
    <row r="351" ht="15.75" customHeight="1">
      <c r="D351" s="279"/>
    </row>
    <row r="352" ht="15.75" customHeight="1">
      <c r="D352" s="279"/>
    </row>
    <row r="353" ht="15.75" customHeight="1">
      <c r="D353" s="279"/>
    </row>
    <row r="354" ht="15.75" customHeight="1">
      <c r="D354" s="279"/>
    </row>
    <row r="355" ht="15.75" customHeight="1">
      <c r="D355" s="279"/>
    </row>
    <row r="356" ht="15.75" customHeight="1">
      <c r="D356" s="279"/>
    </row>
    <row r="357" ht="15.75" customHeight="1">
      <c r="D357" s="279"/>
    </row>
    <row r="358" ht="15.75" customHeight="1">
      <c r="D358" s="279"/>
    </row>
    <row r="359" ht="15.75" customHeight="1">
      <c r="D359" s="279"/>
    </row>
    <row r="360" ht="15.75" customHeight="1">
      <c r="D360" s="279"/>
    </row>
    <row r="361" ht="15.75" customHeight="1">
      <c r="D361" s="279"/>
    </row>
    <row r="362" ht="15.75" customHeight="1">
      <c r="D362" s="279"/>
    </row>
    <row r="363" ht="15.75" customHeight="1">
      <c r="D363" s="279"/>
    </row>
    <row r="364" ht="15.75" customHeight="1">
      <c r="D364" s="279"/>
    </row>
    <row r="365" ht="15.75" customHeight="1">
      <c r="D365" s="279"/>
    </row>
    <row r="366" ht="15.75" customHeight="1">
      <c r="D366" s="279"/>
    </row>
    <row r="367" ht="15.75" customHeight="1">
      <c r="D367" s="279"/>
    </row>
    <row r="368" ht="15.75" customHeight="1">
      <c r="D368" s="279"/>
    </row>
    <row r="369" ht="15.75" customHeight="1">
      <c r="D369" s="279"/>
    </row>
    <row r="370" ht="15.75" customHeight="1">
      <c r="D370" s="279"/>
    </row>
    <row r="371" ht="15.75" customHeight="1">
      <c r="D371" s="279"/>
    </row>
    <row r="372" ht="15.75" customHeight="1">
      <c r="D372" s="279"/>
    </row>
    <row r="373" ht="15.75" customHeight="1">
      <c r="D373" s="279"/>
    </row>
    <row r="374" ht="15.75" customHeight="1">
      <c r="D374" s="279"/>
    </row>
    <row r="375" ht="15.75" customHeight="1">
      <c r="D375" s="279"/>
    </row>
    <row r="376" ht="15.75" customHeight="1">
      <c r="D376" s="279"/>
    </row>
    <row r="377" ht="15.75" customHeight="1">
      <c r="D377" s="279"/>
    </row>
    <row r="378" ht="15.75" customHeight="1">
      <c r="D378" s="279"/>
    </row>
    <row r="379" ht="15.75" customHeight="1">
      <c r="D379" s="279"/>
    </row>
    <row r="380" ht="15.75" customHeight="1">
      <c r="D380" s="279"/>
    </row>
    <row r="381" ht="15.75" customHeight="1">
      <c r="D381" s="279"/>
    </row>
    <row r="382" ht="15.75" customHeight="1">
      <c r="D382" s="279"/>
    </row>
    <row r="383" ht="15.75" customHeight="1">
      <c r="D383" s="279"/>
    </row>
    <row r="384" ht="15.75" customHeight="1">
      <c r="D384" s="279"/>
    </row>
    <row r="385" ht="15.75" customHeight="1">
      <c r="D385" s="279"/>
    </row>
    <row r="386" ht="15.75" customHeight="1">
      <c r="D386" s="279"/>
    </row>
    <row r="387" ht="15.75" customHeight="1">
      <c r="D387" s="279"/>
    </row>
    <row r="388" ht="15.75" customHeight="1">
      <c r="D388" s="279"/>
    </row>
    <row r="389" ht="15.75" customHeight="1">
      <c r="D389" s="279"/>
    </row>
    <row r="390" ht="15.75" customHeight="1">
      <c r="D390" s="279"/>
    </row>
    <row r="391" ht="15.75" customHeight="1">
      <c r="D391" s="279"/>
    </row>
    <row r="392" ht="15.75" customHeight="1">
      <c r="D392" s="279"/>
    </row>
    <row r="393" ht="15.75" customHeight="1">
      <c r="D393" s="279"/>
    </row>
    <row r="394" ht="15.75" customHeight="1">
      <c r="D394" s="279"/>
    </row>
    <row r="395" ht="15.75" customHeight="1">
      <c r="D395" s="279"/>
    </row>
    <row r="396" ht="15.75" customHeight="1">
      <c r="D396" s="279"/>
    </row>
    <row r="397" ht="15.75" customHeight="1">
      <c r="D397" s="279"/>
    </row>
    <row r="398" ht="15.75" customHeight="1">
      <c r="D398" s="279"/>
    </row>
    <row r="399" ht="15.75" customHeight="1">
      <c r="D399" s="279"/>
    </row>
    <row r="400" ht="15.75" customHeight="1">
      <c r="D400" s="279"/>
    </row>
    <row r="401" ht="15.75" customHeight="1">
      <c r="D401" s="279"/>
    </row>
    <row r="402" ht="15.75" customHeight="1">
      <c r="D402" s="279"/>
    </row>
    <row r="403" ht="15.75" customHeight="1">
      <c r="D403" s="279"/>
    </row>
    <row r="404" ht="15.75" customHeight="1">
      <c r="D404" s="279"/>
    </row>
    <row r="405" ht="15.75" customHeight="1">
      <c r="D405" s="279"/>
    </row>
    <row r="406" ht="15.75" customHeight="1">
      <c r="D406" s="279"/>
    </row>
    <row r="407" ht="15.75" customHeight="1">
      <c r="D407" s="279"/>
    </row>
    <row r="408" ht="15.75" customHeight="1">
      <c r="D408" s="279"/>
    </row>
    <row r="409" ht="15.75" customHeight="1">
      <c r="D409" s="279"/>
    </row>
    <row r="410" ht="15.75" customHeight="1">
      <c r="D410" s="279"/>
    </row>
    <row r="411" ht="15.75" customHeight="1">
      <c r="D411" s="279"/>
    </row>
    <row r="412" ht="15.75" customHeight="1">
      <c r="D412" s="279"/>
    </row>
    <row r="413" ht="15.75" customHeight="1">
      <c r="D413" s="279"/>
    </row>
    <row r="414" ht="15.75" customHeight="1">
      <c r="D414" s="279"/>
    </row>
    <row r="415" ht="15.75" customHeight="1">
      <c r="D415" s="279"/>
    </row>
    <row r="416" ht="15.75" customHeight="1">
      <c r="D416" s="279"/>
    </row>
    <row r="417" ht="15.75" customHeight="1">
      <c r="D417" s="279"/>
    </row>
    <row r="418" ht="15.75" customHeight="1">
      <c r="D418" s="279"/>
    </row>
    <row r="419" ht="15.75" customHeight="1">
      <c r="D419" s="279"/>
    </row>
    <row r="420" ht="15.75" customHeight="1">
      <c r="D420" s="279"/>
    </row>
    <row r="421" ht="15.75" customHeight="1">
      <c r="D421" s="279"/>
    </row>
    <row r="422" ht="15.75" customHeight="1">
      <c r="D422" s="279"/>
    </row>
    <row r="423" ht="15.75" customHeight="1">
      <c r="D423" s="279"/>
    </row>
    <row r="424" ht="15.75" customHeight="1">
      <c r="D424" s="279"/>
    </row>
    <row r="425" ht="15.75" customHeight="1">
      <c r="D425" s="279"/>
    </row>
    <row r="426" ht="15.75" customHeight="1">
      <c r="D426" s="279"/>
    </row>
    <row r="427" ht="15.75" customHeight="1">
      <c r="D427" s="279"/>
    </row>
    <row r="428" ht="15.75" customHeight="1">
      <c r="D428" s="279"/>
    </row>
    <row r="429" ht="15.75" customHeight="1">
      <c r="D429" s="279"/>
    </row>
    <row r="430" ht="15.75" customHeight="1">
      <c r="D430" s="279"/>
    </row>
    <row r="431" ht="15.75" customHeight="1">
      <c r="D431" s="279"/>
    </row>
    <row r="432" ht="15.75" customHeight="1">
      <c r="D432" s="279"/>
    </row>
    <row r="433" ht="15.75" customHeight="1">
      <c r="D433" s="279"/>
    </row>
    <row r="434" ht="15.75" customHeight="1">
      <c r="D434" s="279"/>
    </row>
    <row r="435" ht="15.75" customHeight="1">
      <c r="D435" s="279"/>
    </row>
    <row r="436" ht="15.75" customHeight="1">
      <c r="D436" s="279"/>
    </row>
    <row r="437" ht="15.75" customHeight="1">
      <c r="D437" s="279"/>
    </row>
    <row r="438" ht="15.75" customHeight="1">
      <c r="D438" s="279"/>
    </row>
    <row r="439" ht="15.75" customHeight="1">
      <c r="D439" s="279"/>
    </row>
    <row r="440" ht="15.75" customHeight="1">
      <c r="D440" s="279"/>
    </row>
    <row r="441" ht="15.75" customHeight="1">
      <c r="D441" s="279"/>
    </row>
    <row r="442" ht="15.75" customHeight="1">
      <c r="D442" s="279"/>
    </row>
    <row r="443" ht="15.75" customHeight="1">
      <c r="D443" s="279"/>
    </row>
    <row r="444" ht="15.75" customHeight="1">
      <c r="D444" s="279"/>
    </row>
    <row r="445" ht="15.75" customHeight="1">
      <c r="D445" s="279"/>
    </row>
    <row r="446" ht="15.75" customHeight="1">
      <c r="D446" s="279"/>
    </row>
    <row r="447" ht="15.75" customHeight="1">
      <c r="D447" s="279"/>
    </row>
    <row r="448" ht="15.75" customHeight="1">
      <c r="D448" s="279"/>
    </row>
    <row r="449" ht="15.75" customHeight="1">
      <c r="D449" s="279"/>
    </row>
    <row r="450" ht="15.75" customHeight="1">
      <c r="D450" s="279"/>
    </row>
    <row r="451" ht="15.75" customHeight="1">
      <c r="D451" s="279"/>
    </row>
    <row r="452" ht="15.75" customHeight="1">
      <c r="D452" s="279"/>
    </row>
    <row r="453" ht="15.75" customHeight="1">
      <c r="D453" s="279"/>
    </row>
    <row r="454" ht="15.75" customHeight="1">
      <c r="D454" s="279"/>
    </row>
    <row r="455" ht="15.75" customHeight="1">
      <c r="D455" s="279"/>
    </row>
    <row r="456" ht="15.75" customHeight="1">
      <c r="D456" s="279"/>
    </row>
    <row r="457" ht="15.75" customHeight="1">
      <c r="D457" s="279"/>
    </row>
    <row r="458" ht="15.75" customHeight="1">
      <c r="D458" s="279"/>
    </row>
    <row r="459" ht="15.75" customHeight="1">
      <c r="D459" s="279"/>
    </row>
    <row r="460" ht="15.75" customHeight="1">
      <c r="D460" s="279"/>
    </row>
    <row r="461" ht="15.75" customHeight="1">
      <c r="D461" s="279"/>
    </row>
    <row r="462" ht="15.75" customHeight="1">
      <c r="D462" s="279"/>
    </row>
    <row r="463" ht="15.75" customHeight="1">
      <c r="D463" s="279"/>
    </row>
    <row r="464" ht="15.75" customHeight="1">
      <c r="D464" s="279"/>
    </row>
    <row r="465" ht="15.75" customHeight="1">
      <c r="D465" s="279"/>
    </row>
    <row r="466" ht="15.75" customHeight="1">
      <c r="D466" s="279"/>
    </row>
    <row r="467" ht="15.75" customHeight="1">
      <c r="D467" s="279"/>
    </row>
    <row r="468" ht="15.75" customHeight="1">
      <c r="D468" s="279"/>
    </row>
    <row r="469" ht="15.75" customHeight="1">
      <c r="D469" s="279"/>
    </row>
    <row r="470" ht="15.75" customHeight="1">
      <c r="D470" s="279"/>
    </row>
    <row r="471" ht="15.75" customHeight="1">
      <c r="D471" s="279"/>
    </row>
    <row r="472" ht="15.75" customHeight="1">
      <c r="D472" s="279"/>
    </row>
    <row r="473" ht="15.75" customHeight="1">
      <c r="D473" s="279"/>
    </row>
    <row r="474" ht="15.75" customHeight="1">
      <c r="D474" s="279"/>
    </row>
    <row r="475" ht="15.75" customHeight="1">
      <c r="D475" s="279"/>
    </row>
    <row r="476" ht="15.75" customHeight="1">
      <c r="D476" s="279"/>
    </row>
    <row r="477" ht="15.75" customHeight="1">
      <c r="D477" s="279"/>
    </row>
    <row r="478" ht="15.75" customHeight="1">
      <c r="D478" s="279"/>
    </row>
    <row r="479" ht="15.75" customHeight="1">
      <c r="D479" s="279"/>
    </row>
    <row r="480" ht="15.75" customHeight="1">
      <c r="D480" s="279"/>
    </row>
    <row r="481" ht="15.75" customHeight="1">
      <c r="D481" s="279"/>
    </row>
    <row r="482" ht="15.75" customHeight="1">
      <c r="D482" s="279"/>
    </row>
    <row r="483" ht="15.75" customHeight="1">
      <c r="D483" s="279"/>
    </row>
    <row r="484" ht="15.75" customHeight="1">
      <c r="D484" s="279"/>
    </row>
    <row r="485" ht="15.75" customHeight="1">
      <c r="D485" s="279"/>
    </row>
    <row r="486" ht="15.75" customHeight="1">
      <c r="D486" s="279"/>
    </row>
    <row r="487" ht="15.75" customHeight="1">
      <c r="D487" s="279"/>
    </row>
    <row r="488" ht="15.75" customHeight="1">
      <c r="D488" s="279"/>
    </row>
    <row r="489" ht="15.75" customHeight="1">
      <c r="D489" s="279"/>
    </row>
    <row r="490" ht="15.75" customHeight="1">
      <c r="D490" s="279"/>
    </row>
    <row r="491" ht="15.75" customHeight="1">
      <c r="D491" s="279"/>
    </row>
    <row r="492" ht="15.75" customHeight="1">
      <c r="D492" s="279"/>
    </row>
    <row r="493" ht="15.75" customHeight="1">
      <c r="D493" s="279"/>
    </row>
    <row r="494" ht="15.75" customHeight="1">
      <c r="D494" s="279"/>
    </row>
    <row r="495" ht="15.75" customHeight="1">
      <c r="D495" s="279"/>
    </row>
    <row r="496" ht="15.75" customHeight="1">
      <c r="D496" s="279"/>
    </row>
    <row r="497" ht="15.75" customHeight="1">
      <c r="D497" s="279"/>
    </row>
    <row r="498" ht="15.75" customHeight="1">
      <c r="D498" s="279"/>
    </row>
    <row r="499" ht="15.75" customHeight="1">
      <c r="D499" s="279"/>
    </row>
    <row r="500" ht="15.75" customHeight="1">
      <c r="D500" s="279"/>
    </row>
    <row r="501" ht="15.75" customHeight="1">
      <c r="D501" s="279"/>
    </row>
    <row r="502" ht="15.75" customHeight="1">
      <c r="D502" s="279"/>
    </row>
    <row r="503" ht="15.75" customHeight="1">
      <c r="D503" s="279"/>
    </row>
    <row r="504" ht="15.75" customHeight="1">
      <c r="D504" s="279"/>
    </row>
    <row r="505" ht="15.75" customHeight="1">
      <c r="D505" s="279"/>
    </row>
    <row r="506" ht="15.75" customHeight="1">
      <c r="D506" s="279"/>
    </row>
    <row r="507" ht="15.75" customHeight="1">
      <c r="D507" s="279"/>
    </row>
    <row r="508" ht="15.75" customHeight="1">
      <c r="D508" s="279"/>
    </row>
    <row r="509" ht="15.75" customHeight="1">
      <c r="D509" s="279"/>
    </row>
    <row r="510" ht="15.75" customHeight="1">
      <c r="D510" s="279"/>
    </row>
    <row r="511" ht="15.75" customHeight="1">
      <c r="D511" s="279"/>
    </row>
    <row r="512" ht="15.75" customHeight="1">
      <c r="D512" s="279"/>
    </row>
    <row r="513" ht="15.75" customHeight="1">
      <c r="D513" s="279"/>
    </row>
    <row r="514" ht="15.75" customHeight="1">
      <c r="D514" s="279"/>
    </row>
    <row r="515" ht="15.75" customHeight="1">
      <c r="D515" s="279"/>
    </row>
    <row r="516" ht="15.75" customHeight="1">
      <c r="D516" s="279"/>
    </row>
    <row r="517" ht="15.75" customHeight="1">
      <c r="D517" s="279"/>
    </row>
    <row r="518" ht="15.75" customHeight="1">
      <c r="D518" s="279"/>
    </row>
    <row r="519" ht="15.75" customHeight="1">
      <c r="D519" s="279"/>
    </row>
    <row r="520" ht="15.75" customHeight="1">
      <c r="D520" s="279"/>
    </row>
    <row r="521" ht="15.75" customHeight="1">
      <c r="D521" s="279"/>
    </row>
    <row r="522" ht="15.75" customHeight="1">
      <c r="D522" s="279"/>
    </row>
    <row r="523" ht="15.75" customHeight="1">
      <c r="D523" s="279"/>
    </row>
    <row r="524" ht="15.75" customHeight="1">
      <c r="D524" s="279"/>
    </row>
    <row r="525" ht="15.75" customHeight="1">
      <c r="D525" s="279"/>
    </row>
    <row r="526" ht="15.75" customHeight="1">
      <c r="D526" s="279"/>
    </row>
    <row r="527" ht="15.75" customHeight="1">
      <c r="D527" s="279"/>
    </row>
    <row r="528" ht="15.75" customHeight="1">
      <c r="D528" s="279"/>
    </row>
    <row r="529" ht="15.75" customHeight="1">
      <c r="D529" s="279"/>
    </row>
    <row r="530" ht="15.75" customHeight="1">
      <c r="D530" s="279"/>
    </row>
    <row r="531" ht="15.75" customHeight="1">
      <c r="D531" s="279"/>
    </row>
    <row r="532" ht="15.75" customHeight="1">
      <c r="D532" s="279"/>
    </row>
    <row r="533" ht="15.75" customHeight="1">
      <c r="D533" s="279"/>
    </row>
    <row r="534" ht="15.75" customHeight="1">
      <c r="D534" s="279"/>
    </row>
    <row r="535" ht="15.75" customHeight="1">
      <c r="D535" s="279"/>
    </row>
    <row r="536" ht="15.75" customHeight="1">
      <c r="D536" s="279"/>
    </row>
    <row r="537" ht="15.75" customHeight="1">
      <c r="D537" s="279"/>
    </row>
    <row r="538" ht="15.75" customHeight="1">
      <c r="D538" s="279"/>
    </row>
    <row r="539" ht="15.75" customHeight="1">
      <c r="D539" s="279"/>
    </row>
    <row r="540" ht="15.75" customHeight="1">
      <c r="D540" s="279"/>
    </row>
    <row r="541" ht="15.75" customHeight="1">
      <c r="D541" s="279"/>
    </row>
    <row r="542" ht="15.75" customHeight="1">
      <c r="D542" s="279"/>
    </row>
    <row r="543" ht="15.75" customHeight="1">
      <c r="D543" s="279"/>
    </row>
    <row r="544" ht="15.75" customHeight="1">
      <c r="D544" s="279"/>
    </row>
    <row r="545" ht="15.75" customHeight="1">
      <c r="D545" s="279"/>
    </row>
    <row r="546" ht="15.75" customHeight="1">
      <c r="D546" s="279"/>
    </row>
    <row r="547" ht="15.75" customHeight="1">
      <c r="D547" s="279"/>
    </row>
    <row r="548" ht="15.75" customHeight="1">
      <c r="D548" s="279"/>
    </row>
    <row r="549" ht="15.75" customHeight="1">
      <c r="D549" s="279"/>
    </row>
    <row r="550" ht="15.75" customHeight="1">
      <c r="D550" s="279"/>
    </row>
    <row r="551" ht="15.75" customHeight="1">
      <c r="D551" s="279"/>
    </row>
    <row r="552" ht="15.75" customHeight="1">
      <c r="D552" s="279"/>
    </row>
    <row r="553" ht="15.75" customHeight="1">
      <c r="D553" s="279"/>
    </row>
    <row r="554" ht="15.75" customHeight="1">
      <c r="D554" s="279"/>
    </row>
    <row r="555" ht="15.75" customHeight="1">
      <c r="D555" s="279"/>
    </row>
    <row r="556" ht="15.75" customHeight="1">
      <c r="D556" s="279"/>
    </row>
    <row r="557" ht="15.75" customHeight="1">
      <c r="D557" s="279"/>
    </row>
    <row r="558" ht="15.75" customHeight="1">
      <c r="D558" s="279"/>
    </row>
    <row r="559" ht="15.75" customHeight="1">
      <c r="D559" s="279"/>
    </row>
    <row r="560" ht="15.75" customHeight="1">
      <c r="D560" s="279"/>
    </row>
    <row r="561" ht="15.75" customHeight="1">
      <c r="D561" s="279"/>
    </row>
    <row r="562" ht="15.75" customHeight="1">
      <c r="D562" s="279"/>
    </row>
    <row r="563" ht="15.75" customHeight="1">
      <c r="D563" s="279"/>
    </row>
    <row r="564" ht="15.75" customHeight="1">
      <c r="D564" s="279"/>
    </row>
    <row r="565" ht="15.75" customHeight="1">
      <c r="D565" s="279"/>
    </row>
    <row r="566" ht="15.75" customHeight="1">
      <c r="D566" s="279"/>
    </row>
    <row r="567" ht="15.75" customHeight="1">
      <c r="D567" s="279"/>
    </row>
    <row r="568" ht="15.75" customHeight="1">
      <c r="D568" s="279"/>
    </row>
    <row r="569" ht="15.75" customHeight="1">
      <c r="D569" s="279"/>
    </row>
    <row r="570" ht="15.75" customHeight="1">
      <c r="D570" s="279"/>
    </row>
    <row r="571" ht="15.75" customHeight="1">
      <c r="D571" s="279"/>
    </row>
    <row r="572" ht="15.75" customHeight="1">
      <c r="D572" s="279"/>
    </row>
    <row r="573" ht="15.75" customHeight="1">
      <c r="D573" s="279"/>
    </row>
    <row r="574" ht="15.75" customHeight="1">
      <c r="D574" s="279"/>
    </row>
    <row r="575" ht="15.75" customHeight="1">
      <c r="D575" s="279"/>
    </row>
    <row r="576" ht="15.75" customHeight="1">
      <c r="D576" s="279"/>
    </row>
    <row r="577" ht="15.75" customHeight="1">
      <c r="D577" s="279"/>
    </row>
    <row r="578" ht="15.75" customHeight="1">
      <c r="D578" s="279"/>
    </row>
    <row r="579" ht="15.75" customHeight="1">
      <c r="D579" s="279"/>
    </row>
    <row r="580" ht="15.75" customHeight="1">
      <c r="D580" s="279"/>
    </row>
    <row r="581" ht="15.75" customHeight="1">
      <c r="D581" s="279"/>
    </row>
    <row r="582" ht="15.75" customHeight="1">
      <c r="D582" s="279"/>
    </row>
    <row r="583" ht="15.75" customHeight="1">
      <c r="D583" s="279"/>
    </row>
    <row r="584" ht="15.75" customHeight="1">
      <c r="D584" s="279"/>
    </row>
    <row r="585" ht="15.75" customHeight="1">
      <c r="D585" s="279"/>
    </row>
    <row r="586" ht="15.75" customHeight="1">
      <c r="D586" s="279"/>
    </row>
    <row r="587" ht="15.75" customHeight="1">
      <c r="D587" s="279"/>
    </row>
    <row r="588" ht="15.75" customHeight="1">
      <c r="D588" s="279"/>
    </row>
    <row r="589" ht="15.75" customHeight="1">
      <c r="D589" s="279"/>
    </row>
    <row r="590" ht="15.75" customHeight="1">
      <c r="D590" s="279"/>
    </row>
    <row r="591" ht="15.75" customHeight="1">
      <c r="D591" s="279"/>
    </row>
    <row r="592" ht="15.75" customHeight="1">
      <c r="D592" s="279"/>
    </row>
    <row r="593" ht="15.75" customHeight="1">
      <c r="D593" s="279"/>
    </row>
    <row r="594" ht="15.75" customHeight="1">
      <c r="D594" s="279"/>
    </row>
    <row r="595" ht="15.75" customHeight="1">
      <c r="D595" s="279"/>
    </row>
    <row r="596" ht="15.75" customHeight="1">
      <c r="D596" s="279"/>
    </row>
    <row r="597" ht="15.75" customHeight="1">
      <c r="D597" s="279"/>
    </row>
    <row r="598" ht="15.75" customHeight="1">
      <c r="D598" s="279"/>
    </row>
    <row r="599" ht="15.75" customHeight="1">
      <c r="D599" s="279"/>
    </row>
    <row r="600" ht="15.75" customHeight="1">
      <c r="D600" s="279"/>
    </row>
    <row r="601" ht="15.75" customHeight="1">
      <c r="D601" s="279"/>
    </row>
    <row r="602" ht="15.75" customHeight="1">
      <c r="D602" s="279"/>
    </row>
    <row r="603" ht="15.75" customHeight="1">
      <c r="D603" s="279"/>
    </row>
    <row r="604" ht="15.75" customHeight="1">
      <c r="D604" s="279"/>
    </row>
    <row r="605" ht="15.75" customHeight="1">
      <c r="D605" s="279"/>
    </row>
    <row r="606" ht="15.75" customHeight="1">
      <c r="D606" s="279"/>
    </row>
    <row r="607" ht="15.75" customHeight="1">
      <c r="D607" s="279"/>
    </row>
    <row r="608" ht="15.75" customHeight="1">
      <c r="D608" s="279"/>
    </row>
    <row r="609" ht="15.75" customHeight="1">
      <c r="D609" s="279"/>
    </row>
    <row r="610" ht="15.75" customHeight="1">
      <c r="D610" s="279"/>
    </row>
    <row r="611" ht="15.75" customHeight="1">
      <c r="D611" s="279"/>
    </row>
    <row r="612" ht="15.75" customHeight="1">
      <c r="D612" s="279"/>
    </row>
    <row r="613" ht="15.75" customHeight="1">
      <c r="D613" s="279"/>
    </row>
    <row r="614" ht="15.75" customHeight="1">
      <c r="D614" s="279"/>
    </row>
    <row r="615" ht="15.75" customHeight="1">
      <c r="D615" s="279"/>
    </row>
    <row r="616" ht="15.75" customHeight="1">
      <c r="D616" s="279"/>
    </row>
    <row r="617" ht="15.75" customHeight="1">
      <c r="D617" s="279"/>
    </row>
    <row r="618" ht="15.75" customHeight="1">
      <c r="D618" s="279"/>
    </row>
    <row r="619" ht="15.75" customHeight="1">
      <c r="D619" s="279"/>
    </row>
    <row r="620" ht="15.75" customHeight="1">
      <c r="D620" s="279"/>
    </row>
    <row r="621" ht="15.75" customHeight="1">
      <c r="D621" s="279"/>
    </row>
    <row r="622" ht="15.75" customHeight="1">
      <c r="D622" s="279"/>
    </row>
    <row r="623" ht="15.75" customHeight="1">
      <c r="D623" s="279"/>
    </row>
    <row r="624" ht="15.75" customHeight="1">
      <c r="D624" s="279"/>
    </row>
    <row r="625" ht="15.75" customHeight="1">
      <c r="D625" s="279"/>
    </row>
    <row r="626" ht="15.75" customHeight="1">
      <c r="D626" s="279"/>
    </row>
    <row r="627" ht="15.75" customHeight="1">
      <c r="D627" s="279"/>
    </row>
    <row r="628" ht="15.75" customHeight="1">
      <c r="D628" s="279"/>
    </row>
    <row r="629" ht="15.75" customHeight="1">
      <c r="D629" s="279"/>
    </row>
    <row r="630" ht="15.75" customHeight="1">
      <c r="D630" s="279"/>
    </row>
    <row r="631" ht="15.75" customHeight="1">
      <c r="D631" s="279"/>
    </row>
    <row r="632" ht="15.75" customHeight="1">
      <c r="D632" s="279"/>
    </row>
    <row r="633" ht="15.75" customHeight="1">
      <c r="D633" s="279"/>
    </row>
    <row r="634" ht="15.75" customHeight="1">
      <c r="D634" s="279"/>
    </row>
    <row r="635" ht="15.75" customHeight="1">
      <c r="D635" s="279"/>
    </row>
    <row r="636" ht="15.75" customHeight="1">
      <c r="D636" s="279"/>
    </row>
    <row r="637" ht="15.75" customHeight="1">
      <c r="D637" s="279"/>
    </row>
    <row r="638" ht="15.75" customHeight="1">
      <c r="D638" s="279"/>
    </row>
    <row r="639" ht="15.75" customHeight="1">
      <c r="D639" s="279"/>
    </row>
    <row r="640" ht="15.75" customHeight="1">
      <c r="D640" s="279"/>
    </row>
    <row r="641" ht="15.75" customHeight="1">
      <c r="D641" s="279"/>
    </row>
    <row r="642" ht="15.75" customHeight="1">
      <c r="D642" s="279"/>
    </row>
    <row r="643" ht="15.75" customHeight="1">
      <c r="D643" s="279"/>
    </row>
    <row r="644" ht="15.75" customHeight="1">
      <c r="D644" s="279"/>
    </row>
    <row r="645" ht="15.75" customHeight="1">
      <c r="D645" s="279"/>
    </row>
    <row r="646" ht="15.75" customHeight="1">
      <c r="D646" s="279"/>
    </row>
    <row r="647" ht="15.75" customHeight="1">
      <c r="D647" s="279"/>
    </row>
    <row r="648" ht="15.75" customHeight="1">
      <c r="D648" s="279"/>
    </row>
    <row r="649" ht="15.75" customHeight="1">
      <c r="D649" s="279"/>
    </row>
    <row r="650" ht="15.75" customHeight="1">
      <c r="D650" s="279"/>
    </row>
    <row r="651" ht="15.75" customHeight="1">
      <c r="D651" s="279"/>
    </row>
    <row r="652" ht="15.75" customHeight="1">
      <c r="D652" s="279"/>
    </row>
    <row r="653" ht="15.75" customHeight="1">
      <c r="D653" s="279"/>
    </row>
    <row r="654" ht="15.75" customHeight="1">
      <c r="D654" s="279"/>
    </row>
    <row r="655" ht="15.75" customHeight="1">
      <c r="D655" s="279"/>
    </row>
    <row r="656" ht="15.75" customHeight="1">
      <c r="D656" s="279"/>
    </row>
    <row r="657" ht="15.75" customHeight="1">
      <c r="D657" s="279"/>
    </row>
    <row r="658" ht="15.75" customHeight="1">
      <c r="D658" s="279"/>
    </row>
    <row r="659" ht="15.75" customHeight="1">
      <c r="D659" s="279"/>
    </row>
    <row r="660" ht="15.75" customHeight="1">
      <c r="D660" s="279"/>
    </row>
    <row r="661" ht="15.75" customHeight="1">
      <c r="D661" s="279"/>
    </row>
    <row r="662" ht="15.75" customHeight="1">
      <c r="D662" s="279"/>
    </row>
    <row r="663" ht="15.75" customHeight="1">
      <c r="D663" s="279"/>
    </row>
    <row r="664" ht="15.75" customHeight="1">
      <c r="D664" s="279"/>
    </row>
    <row r="665" ht="15.75" customHeight="1">
      <c r="D665" s="279"/>
    </row>
    <row r="666" ht="15.75" customHeight="1">
      <c r="D666" s="279"/>
    </row>
    <row r="667" ht="15.75" customHeight="1">
      <c r="D667" s="279"/>
    </row>
    <row r="668" ht="15.75" customHeight="1">
      <c r="D668" s="279"/>
    </row>
    <row r="669" ht="15.75" customHeight="1">
      <c r="D669" s="279"/>
    </row>
    <row r="670" ht="15.75" customHeight="1">
      <c r="D670" s="279"/>
    </row>
    <row r="671" ht="15.75" customHeight="1">
      <c r="D671" s="279"/>
    </row>
    <row r="672" ht="15.75" customHeight="1">
      <c r="D672" s="279"/>
    </row>
    <row r="673" ht="15.75" customHeight="1">
      <c r="D673" s="279"/>
    </row>
    <row r="674" ht="15.75" customHeight="1">
      <c r="D674" s="279"/>
    </row>
    <row r="675" ht="15.75" customHeight="1">
      <c r="D675" s="279"/>
    </row>
    <row r="676" ht="15.75" customHeight="1">
      <c r="D676" s="279"/>
    </row>
    <row r="677" ht="15.75" customHeight="1">
      <c r="D677" s="279"/>
    </row>
    <row r="678" ht="15.75" customHeight="1">
      <c r="D678" s="279"/>
    </row>
    <row r="679" ht="15.75" customHeight="1">
      <c r="D679" s="279"/>
    </row>
    <row r="680" ht="15.75" customHeight="1">
      <c r="D680" s="279"/>
    </row>
    <row r="681" ht="15.75" customHeight="1">
      <c r="D681" s="279"/>
    </row>
    <row r="682" ht="15.75" customHeight="1">
      <c r="D682" s="279"/>
    </row>
    <row r="683" ht="15.75" customHeight="1">
      <c r="D683" s="279"/>
    </row>
    <row r="684" ht="15.75" customHeight="1">
      <c r="D684" s="279"/>
    </row>
    <row r="685" ht="15.75" customHeight="1">
      <c r="D685" s="279"/>
    </row>
    <row r="686" ht="15.75" customHeight="1">
      <c r="D686" s="279"/>
    </row>
    <row r="687" ht="15.75" customHeight="1">
      <c r="D687" s="279"/>
    </row>
    <row r="688" ht="15.75" customHeight="1">
      <c r="D688" s="279"/>
    </row>
    <row r="689" ht="15.75" customHeight="1">
      <c r="D689" s="279"/>
    </row>
    <row r="690" ht="15.75" customHeight="1">
      <c r="D690" s="279"/>
    </row>
    <row r="691" ht="15.75" customHeight="1">
      <c r="D691" s="279"/>
    </row>
    <row r="692" ht="15.75" customHeight="1">
      <c r="D692" s="279"/>
    </row>
    <row r="693" ht="15.75" customHeight="1">
      <c r="D693" s="279"/>
    </row>
    <row r="694" ht="15.75" customHeight="1">
      <c r="D694" s="279"/>
    </row>
    <row r="695" ht="15.75" customHeight="1">
      <c r="D695" s="279"/>
    </row>
    <row r="696" ht="15.75" customHeight="1">
      <c r="D696" s="279"/>
    </row>
    <row r="697" ht="15.75" customHeight="1">
      <c r="D697" s="279"/>
    </row>
    <row r="698" ht="15.75" customHeight="1">
      <c r="D698" s="279"/>
    </row>
    <row r="699" ht="15.75" customHeight="1">
      <c r="D699" s="279"/>
    </row>
    <row r="700" ht="15.75" customHeight="1">
      <c r="D700" s="279"/>
    </row>
    <row r="701" ht="15.75" customHeight="1">
      <c r="D701" s="279"/>
    </row>
    <row r="702" ht="15.75" customHeight="1">
      <c r="D702" s="279"/>
    </row>
    <row r="703" ht="15.75" customHeight="1">
      <c r="D703" s="279"/>
    </row>
    <row r="704" ht="15.75" customHeight="1">
      <c r="D704" s="279"/>
    </row>
    <row r="705" ht="15.75" customHeight="1">
      <c r="D705" s="279"/>
    </row>
    <row r="706" ht="15.75" customHeight="1">
      <c r="D706" s="279"/>
    </row>
    <row r="707" ht="15.75" customHeight="1">
      <c r="D707" s="279"/>
    </row>
    <row r="708" ht="15.75" customHeight="1">
      <c r="D708" s="279"/>
    </row>
    <row r="709" ht="15.75" customHeight="1">
      <c r="D709" s="279"/>
    </row>
    <row r="710" ht="15.75" customHeight="1">
      <c r="D710" s="279"/>
    </row>
    <row r="711" ht="15.75" customHeight="1">
      <c r="D711" s="279"/>
    </row>
    <row r="712" ht="15.75" customHeight="1">
      <c r="D712" s="279"/>
    </row>
    <row r="713" ht="15.75" customHeight="1">
      <c r="D713" s="279"/>
    </row>
    <row r="714" ht="15.75" customHeight="1">
      <c r="D714" s="279"/>
    </row>
    <row r="715" ht="15.75" customHeight="1">
      <c r="D715" s="279"/>
    </row>
    <row r="716" ht="15.75" customHeight="1">
      <c r="D716" s="279"/>
    </row>
    <row r="717" ht="15.75" customHeight="1">
      <c r="D717" s="279"/>
    </row>
    <row r="718" ht="15.75" customHeight="1">
      <c r="D718" s="279"/>
    </row>
    <row r="719" ht="15.75" customHeight="1">
      <c r="D719" s="279"/>
    </row>
    <row r="720" ht="15.75" customHeight="1">
      <c r="D720" s="279"/>
    </row>
    <row r="721" ht="15.75" customHeight="1">
      <c r="D721" s="279"/>
    </row>
    <row r="722" ht="15.75" customHeight="1">
      <c r="D722" s="279"/>
    </row>
    <row r="723" ht="15.75" customHeight="1">
      <c r="D723" s="279"/>
    </row>
    <row r="724" ht="15.75" customHeight="1">
      <c r="D724" s="279"/>
    </row>
    <row r="725" ht="15.75" customHeight="1">
      <c r="D725" s="279"/>
    </row>
    <row r="726" ht="15.75" customHeight="1">
      <c r="D726" s="279"/>
    </row>
    <row r="727" ht="15.75" customHeight="1">
      <c r="D727" s="279"/>
    </row>
    <row r="728" ht="15.75" customHeight="1">
      <c r="D728" s="279"/>
    </row>
    <row r="729" ht="15.75" customHeight="1">
      <c r="D729" s="279"/>
    </row>
    <row r="730" ht="15.75" customHeight="1">
      <c r="D730" s="279"/>
    </row>
    <row r="731" ht="15.75" customHeight="1">
      <c r="D731" s="279"/>
    </row>
    <row r="732" ht="15.75" customHeight="1">
      <c r="D732" s="279"/>
    </row>
    <row r="733" ht="15.75" customHeight="1">
      <c r="D733" s="279"/>
    </row>
    <row r="734" ht="15.75" customHeight="1">
      <c r="D734" s="279"/>
    </row>
    <row r="735" ht="15.75" customHeight="1">
      <c r="D735" s="279"/>
    </row>
    <row r="736" ht="15.75" customHeight="1">
      <c r="D736" s="279"/>
    </row>
    <row r="737" ht="15.75" customHeight="1">
      <c r="D737" s="279"/>
    </row>
    <row r="738" ht="15.75" customHeight="1">
      <c r="D738" s="279"/>
    </row>
    <row r="739" ht="15.75" customHeight="1">
      <c r="D739" s="279"/>
    </row>
    <row r="740" ht="15.75" customHeight="1">
      <c r="D740" s="279"/>
    </row>
    <row r="741" ht="15.75" customHeight="1">
      <c r="D741" s="279"/>
    </row>
    <row r="742" ht="15.75" customHeight="1">
      <c r="D742" s="279"/>
    </row>
    <row r="743" ht="15.75" customHeight="1">
      <c r="D743" s="279"/>
    </row>
    <row r="744" ht="15.75" customHeight="1">
      <c r="D744" s="279"/>
    </row>
    <row r="745" ht="15.75" customHeight="1">
      <c r="D745" s="279"/>
    </row>
    <row r="746" ht="15.75" customHeight="1">
      <c r="D746" s="279"/>
    </row>
    <row r="747" ht="15.75" customHeight="1">
      <c r="D747" s="279"/>
    </row>
    <row r="748" ht="15.75" customHeight="1">
      <c r="D748" s="279"/>
    </row>
    <row r="749" ht="15.75" customHeight="1">
      <c r="D749" s="279"/>
    </row>
    <row r="750" ht="15.75" customHeight="1">
      <c r="D750" s="279"/>
    </row>
    <row r="751" ht="15.75" customHeight="1">
      <c r="D751" s="279"/>
    </row>
    <row r="752" ht="15.75" customHeight="1">
      <c r="D752" s="279"/>
    </row>
    <row r="753" ht="15.75" customHeight="1">
      <c r="D753" s="279"/>
    </row>
    <row r="754" ht="15.75" customHeight="1">
      <c r="D754" s="279"/>
    </row>
    <row r="755" ht="15.75" customHeight="1">
      <c r="D755" s="279"/>
    </row>
    <row r="756" ht="15.75" customHeight="1">
      <c r="D756" s="279"/>
    </row>
    <row r="757" ht="15.75" customHeight="1">
      <c r="D757" s="279"/>
    </row>
    <row r="758" ht="15.75" customHeight="1">
      <c r="D758" s="279"/>
    </row>
    <row r="759" ht="15.75" customHeight="1">
      <c r="D759" s="279"/>
    </row>
    <row r="760" ht="15.75" customHeight="1">
      <c r="D760" s="279"/>
    </row>
    <row r="761" ht="15.75" customHeight="1">
      <c r="D761" s="279"/>
    </row>
    <row r="762" ht="15.75" customHeight="1">
      <c r="D762" s="279"/>
    </row>
    <row r="763" ht="15.75" customHeight="1">
      <c r="D763" s="279"/>
    </row>
    <row r="764" ht="15.75" customHeight="1">
      <c r="D764" s="279"/>
    </row>
    <row r="765" ht="15.75" customHeight="1">
      <c r="D765" s="279"/>
    </row>
    <row r="766" ht="15.75" customHeight="1">
      <c r="D766" s="279"/>
    </row>
    <row r="767" ht="15.75" customHeight="1">
      <c r="D767" s="279"/>
    </row>
    <row r="768" ht="15.75" customHeight="1">
      <c r="D768" s="279"/>
    </row>
    <row r="769" ht="15.75" customHeight="1">
      <c r="D769" s="279"/>
    </row>
    <row r="770" ht="15.75" customHeight="1">
      <c r="D770" s="279"/>
    </row>
    <row r="771" ht="15.75" customHeight="1">
      <c r="D771" s="279"/>
    </row>
    <row r="772" ht="15.75" customHeight="1">
      <c r="D772" s="279"/>
    </row>
    <row r="773" ht="15.75" customHeight="1">
      <c r="D773" s="279"/>
    </row>
    <row r="774" ht="15.75" customHeight="1">
      <c r="D774" s="279"/>
    </row>
    <row r="775" ht="15.75" customHeight="1">
      <c r="D775" s="279"/>
    </row>
    <row r="776" ht="15.75" customHeight="1">
      <c r="D776" s="279"/>
    </row>
    <row r="777" ht="15.75" customHeight="1">
      <c r="D777" s="279"/>
    </row>
    <row r="778" ht="15.75" customHeight="1">
      <c r="D778" s="279"/>
    </row>
    <row r="779" ht="15.75" customHeight="1">
      <c r="D779" s="279"/>
    </row>
    <row r="780" ht="15.75" customHeight="1">
      <c r="D780" s="279"/>
    </row>
    <row r="781" ht="15.75" customHeight="1">
      <c r="D781" s="279"/>
    </row>
    <row r="782" ht="15.75" customHeight="1">
      <c r="D782" s="279"/>
    </row>
    <row r="783" ht="15.75" customHeight="1">
      <c r="D783" s="279"/>
    </row>
    <row r="784" ht="15.75" customHeight="1">
      <c r="D784" s="279"/>
    </row>
    <row r="785" ht="15.75" customHeight="1">
      <c r="D785" s="279"/>
    </row>
    <row r="786" ht="15.75" customHeight="1">
      <c r="D786" s="279"/>
    </row>
    <row r="787" ht="15.75" customHeight="1">
      <c r="D787" s="279"/>
    </row>
    <row r="788" ht="15.75" customHeight="1">
      <c r="D788" s="279"/>
    </row>
    <row r="789" ht="15.75" customHeight="1">
      <c r="D789" s="279"/>
    </row>
    <row r="790" ht="15.75" customHeight="1">
      <c r="D790" s="279"/>
    </row>
    <row r="791" ht="15.75" customHeight="1">
      <c r="D791" s="279"/>
    </row>
    <row r="792" ht="15.75" customHeight="1">
      <c r="D792" s="279"/>
    </row>
    <row r="793" ht="15.75" customHeight="1">
      <c r="D793" s="279"/>
    </row>
    <row r="794" ht="15.75" customHeight="1">
      <c r="D794" s="279"/>
    </row>
    <row r="795" ht="15.75" customHeight="1">
      <c r="D795" s="279"/>
    </row>
    <row r="796" ht="15.75" customHeight="1">
      <c r="D796" s="279"/>
    </row>
    <row r="797" ht="15.75" customHeight="1">
      <c r="D797" s="279"/>
    </row>
    <row r="798" ht="15.75" customHeight="1">
      <c r="D798" s="279"/>
    </row>
    <row r="799" ht="15.75" customHeight="1">
      <c r="D799" s="279"/>
    </row>
    <row r="800" ht="15.75" customHeight="1">
      <c r="D800" s="279"/>
    </row>
    <row r="801" ht="15.75" customHeight="1">
      <c r="D801" s="279"/>
    </row>
    <row r="802" ht="15.75" customHeight="1">
      <c r="D802" s="279"/>
    </row>
    <row r="803" ht="15.75" customHeight="1">
      <c r="D803" s="279"/>
    </row>
    <row r="804" ht="15.75" customHeight="1">
      <c r="D804" s="279"/>
    </row>
    <row r="805" ht="15.75" customHeight="1">
      <c r="D805" s="279"/>
    </row>
    <row r="806" ht="15.75" customHeight="1">
      <c r="D806" s="279"/>
    </row>
    <row r="807" ht="15.75" customHeight="1">
      <c r="D807" s="279"/>
    </row>
    <row r="808" ht="15.75" customHeight="1">
      <c r="D808" s="279"/>
    </row>
    <row r="809" ht="15.75" customHeight="1">
      <c r="D809" s="279"/>
    </row>
    <row r="810" ht="15.75" customHeight="1">
      <c r="D810" s="279"/>
    </row>
    <row r="811" ht="15.75" customHeight="1">
      <c r="D811" s="279"/>
    </row>
    <row r="812" ht="15.75" customHeight="1">
      <c r="D812" s="279"/>
    </row>
    <row r="813" ht="15.75" customHeight="1">
      <c r="D813" s="279"/>
    </row>
    <row r="814" ht="15.75" customHeight="1">
      <c r="D814" s="279"/>
    </row>
    <row r="815" ht="15.75" customHeight="1">
      <c r="D815" s="279"/>
    </row>
    <row r="816" ht="15.75" customHeight="1">
      <c r="D816" s="279"/>
    </row>
    <row r="817" ht="15.75" customHeight="1">
      <c r="D817" s="279"/>
    </row>
    <row r="818" ht="15.75" customHeight="1">
      <c r="D818" s="279"/>
    </row>
    <row r="819" ht="15.75" customHeight="1">
      <c r="D819" s="279"/>
    </row>
    <row r="820" ht="15.75" customHeight="1">
      <c r="D820" s="279"/>
    </row>
    <row r="821" ht="15.75" customHeight="1">
      <c r="D821" s="279"/>
    </row>
    <row r="822" ht="15.75" customHeight="1">
      <c r="D822" s="279"/>
    </row>
    <row r="823" ht="15.75" customHeight="1">
      <c r="D823" s="279"/>
    </row>
    <row r="824" ht="15.75" customHeight="1">
      <c r="D824" s="279"/>
    </row>
    <row r="825" ht="15.75" customHeight="1">
      <c r="D825" s="279"/>
    </row>
    <row r="826" ht="15.75" customHeight="1">
      <c r="D826" s="279"/>
    </row>
    <row r="827" ht="15.75" customHeight="1">
      <c r="D827" s="279"/>
    </row>
    <row r="828" ht="15.75" customHeight="1">
      <c r="D828" s="279"/>
    </row>
    <row r="829" ht="15.75" customHeight="1">
      <c r="D829" s="279"/>
    </row>
    <row r="830" ht="15.75" customHeight="1">
      <c r="D830" s="279"/>
    </row>
    <row r="831" ht="15.75" customHeight="1">
      <c r="D831" s="279"/>
    </row>
    <row r="832" ht="15.75" customHeight="1">
      <c r="D832" s="279"/>
    </row>
    <row r="833" ht="15.75" customHeight="1">
      <c r="D833" s="279"/>
    </row>
    <row r="834" ht="15.75" customHeight="1">
      <c r="D834" s="279"/>
    </row>
    <row r="835" ht="15.75" customHeight="1">
      <c r="D835" s="279"/>
    </row>
    <row r="836" ht="15.75" customHeight="1">
      <c r="D836" s="279"/>
    </row>
    <row r="837" ht="15.75" customHeight="1">
      <c r="D837" s="279"/>
    </row>
    <row r="838" ht="15.75" customHeight="1">
      <c r="D838" s="279"/>
    </row>
    <row r="839" ht="15.75" customHeight="1">
      <c r="D839" s="279"/>
    </row>
    <row r="840" ht="15.75" customHeight="1">
      <c r="D840" s="279"/>
    </row>
    <row r="841" ht="15.75" customHeight="1">
      <c r="D841" s="279"/>
    </row>
    <row r="842" ht="15.75" customHeight="1">
      <c r="D842" s="279"/>
    </row>
    <row r="843" ht="15.75" customHeight="1">
      <c r="D843" s="279"/>
    </row>
    <row r="844" ht="15.75" customHeight="1">
      <c r="D844" s="279"/>
    </row>
    <row r="845" ht="15.75" customHeight="1">
      <c r="D845" s="279"/>
    </row>
    <row r="846" ht="15.75" customHeight="1">
      <c r="D846" s="279"/>
    </row>
    <row r="847" ht="15.75" customHeight="1">
      <c r="D847" s="279"/>
    </row>
    <row r="848" ht="15.75" customHeight="1">
      <c r="D848" s="279"/>
    </row>
    <row r="849" ht="15.75" customHeight="1">
      <c r="D849" s="279"/>
    </row>
    <row r="850" ht="15.75" customHeight="1">
      <c r="D850" s="279"/>
    </row>
    <row r="851" ht="15.75" customHeight="1">
      <c r="D851" s="279"/>
    </row>
    <row r="852" ht="15.75" customHeight="1">
      <c r="D852" s="279"/>
    </row>
    <row r="853" ht="15.75" customHeight="1">
      <c r="D853" s="279"/>
    </row>
    <row r="854" ht="15.75" customHeight="1">
      <c r="D854" s="279"/>
    </row>
    <row r="855" ht="15.75" customHeight="1">
      <c r="D855" s="279"/>
    </row>
    <row r="856" ht="15.75" customHeight="1">
      <c r="D856" s="279"/>
    </row>
    <row r="857" ht="15.75" customHeight="1">
      <c r="D857" s="279"/>
    </row>
    <row r="858" ht="15.75" customHeight="1">
      <c r="D858" s="279"/>
    </row>
    <row r="859" ht="15.75" customHeight="1">
      <c r="D859" s="279"/>
    </row>
    <row r="860" ht="15.75" customHeight="1">
      <c r="D860" s="279"/>
    </row>
    <row r="861" ht="15.75" customHeight="1">
      <c r="D861" s="279"/>
    </row>
    <row r="862" ht="15.75" customHeight="1">
      <c r="D862" s="279"/>
    </row>
    <row r="863" ht="15.75" customHeight="1">
      <c r="D863" s="279"/>
    </row>
    <row r="864" ht="15.75" customHeight="1">
      <c r="D864" s="279"/>
    </row>
    <row r="865" ht="15.75" customHeight="1">
      <c r="D865" s="279"/>
    </row>
    <row r="866" ht="15.75" customHeight="1">
      <c r="D866" s="279"/>
    </row>
    <row r="867" ht="15.75" customHeight="1">
      <c r="D867" s="279"/>
    </row>
    <row r="868" ht="15.75" customHeight="1">
      <c r="D868" s="279"/>
    </row>
    <row r="869" ht="15.75" customHeight="1">
      <c r="D869" s="279"/>
    </row>
    <row r="870" ht="15.75" customHeight="1">
      <c r="D870" s="279"/>
    </row>
    <row r="871" ht="15.75" customHeight="1">
      <c r="D871" s="279"/>
    </row>
    <row r="872" ht="15.75" customHeight="1">
      <c r="D872" s="279"/>
    </row>
    <row r="873" ht="15.75" customHeight="1">
      <c r="D873" s="279"/>
    </row>
    <row r="874" ht="15.75" customHeight="1">
      <c r="D874" s="279"/>
    </row>
    <row r="875" ht="15.75" customHeight="1">
      <c r="D875" s="279"/>
    </row>
    <row r="876" ht="15.75" customHeight="1">
      <c r="D876" s="279"/>
    </row>
    <row r="877" ht="15.75" customHeight="1">
      <c r="D877" s="279"/>
    </row>
    <row r="878" ht="15.75" customHeight="1">
      <c r="D878" s="279"/>
    </row>
    <row r="879" ht="15.75" customHeight="1">
      <c r="D879" s="279"/>
    </row>
    <row r="880" ht="15.75" customHeight="1">
      <c r="D880" s="279"/>
    </row>
    <row r="881" ht="15.75" customHeight="1">
      <c r="D881" s="279"/>
    </row>
    <row r="882" ht="15.75" customHeight="1">
      <c r="D882" s="279"/>
    </row>
    <row r="883" ht="15.75" customHeight="1">
      <c r="D883" s="279"/>
    </row>
    <row r="884" ht="15.75" customHeight="1">
      <c r="D884" s="279"/>
    </row>
    <row r="885" ht="15.75" customHeight="1">
      <c r="D885" s="279"/>
    </row>
    <row r="886" ht="15.75" customHeight="1">
      <c r="D886" s="279"/>
    </row>
    <row r="887" ht="15.75" customHeight="1">
      <c r="D887" s="279"/>
    </row>
    <row r="888" ht="15.75" customHeight="1">
      <c r="D888" s="279"/>
    </row>
    <row r="889" ht="15.75" customHeight="1">
      <c r="D889" s="279"/>
    </row>
    <row r="890" ht="15.75" customHeight="1">
      <c r="D890" s="279"/>
    </row>
    <row r="891" ht="15.75" customHeight="1">
      <c r="D891" s="279"/>
    </row>
    <row r="892" ht="15.75" customHeight="1">
      <c r="D892" s="279"/>
    </row>
    <row r="893" ht="15.75" customHeight="1">
      <c r="D893" s="279"/>
    </row>
    <row r="894" ht="15.75" customHeight="1">
      <c r="D894" s="279"/>
    </row>
    <row r="895" ht="15.75" customHeight="1">
      <c r="D895" s="279"/>
    </row>
    <row r="896" ht="15.75" customHeight="1">
      <c r="D896" s="279"/>
    </row>
    <row r="897" ht="15.75" customHeight="1">
      <c r="D897" s="279"/>
    </row>
    <row r="898" ht="15.75" customHeight="1">
      <c r="D898" s="279"/>
    </row>
    <row r="899" ht="15.75" customHeight="1">
      <c r="D899" s="279"/>
    </row>
    <row r="900" ht="15.75" customHeight="1">
      <c r="D900" s="279"/>
    </row>
    <row r="901" ht="15.75" customHeight="1">
      <c r="D901" s="279"/>
    </row>
    <row r="902" ht="15.75" customHeight="1">
      <c r="D902" s="279"/>
    </row>
    <row r="903" ht="15.75" customHeight="1">
      <c r="D903" s="279"/>
    </row>
    <row r="904" ht="15.75" customHeight="1">
      <c r="D904" s="279"/>
    </row>
    <row r="905" ht="15.75" customHeight="1">
      <c r="D905" s="279"/>
    </row>
    <row r="906" ht="15.75" customHeight="1">
      <c r="D906" s="279"/>
    </row>
    <row r="907" ht="15.75" customHeight="1">
      <c r="D907" s="279"/>
    </row>
    <row r="908" ht="15.75" customHeight="1">
      <c r="D908" s="279"/>
    </row>
    <row r="909" ht="15.75" customHeight="1">
      <c r="D909" s="279"/>
    </row>
    <row r="910" ht="15.75" customHeight="1">
      <c r="D910" s="279"/>
    </row>
    <row r="911" ht="15.75" customHeight="1">
      <c r="D911" s="279"/>
    </row>
    <row r="912" ht="15.75" customHeight="1">
      <c r="D912" s="279"/>
    </row>
    <row r="913" ht="15.75" customHeight="1">
      <c r="D913" s="279"/>
    </row>
    <row r="914" ht="15.75" customHeight="1">
      <c r="D914" s="279"/>
    </row>
    <row r="915" ht="15.75" customHeight="1">
      <c r="D915" s="279"/>
    </row>
    <row r="916" ht="15.75" customHeight="1">
      <c r="D916" s="279"/>
    </row>
    <row r="917" ht="15.75" customHeight="1">
      <c r="D917" s="279"/>
    </row>
    <row r="918" ht="15.75" customHeight="1">
      <c r="D918" s="279"/>
    </row>
    <row r="919" ht="15.75" customHeight="1">
      <c r="D919" s="279"/>
    </row>
    <row r="920" ht="15.75" customHeight="1">
      <c r="D920" s="279"/>
    </row>
    <row r="921" ht="15.75" customHeight="1">
      <c r="D921" s="279"/>
    </row>
    <row r="922" ht="15.75" customHeight="1">
      <c r="D922" s="279"/>
    </row>
    <row r="923" ht="15.75" customHeight="1">
      <c r="D923" s="279"/>
    </row>
    <row r="924" ht="15.75" customHeight="1">
      <c r="D924" s="279"/>
    </row>
    <row r="925" ht="15.75" customHeight="1">
      <c r="D925" s="279"/>
    </row>
    <row r="926" ht="15.75" customHeight="1">
      <c r="D926" s="279"/>
    </row>
    <row r="927" ht="15.75" customHeight="1">
      <c r="D927" s="279"/>
    </row>
    <row r="928" ht="15.75" customHeight="1">
      <c r="D928" s="279"/>
    </row>
    <row r="929" ht="15.75" customHeight="1">
      <c r="D929" s="279"/>
    </row>
    <row r="930" ht="15.75" customHeight="1">
      <c r="D930" s="279"/>
    </row>
    <row r="931" ht="15.75" customHeight="1">
      <c r="D931" s="279"/>
    </row>
    <row r="932" ht="15.75" customHeight="1">
      <c r="D932" s="279"/>
    </row>
    <row r="933" ht="15.75" customHeight="1">
      <c r="D933" s="279"/>
    </row>
    <row r="934" ht="15.75" customHeight="1">
      <c r="D934" s="279"/>
    </row>
    <row r="935" ht="15.75" customHeight="1">
      <c r="D935" s="279"/>
    </row>
    <row r="936" ht="15.75" customHeight="1">
      <c r="D936" s="279"/>
    </row>
    <row r="937" ht="15.75" customHeight="1">
      <c r="D937" s="279"/>
    </row>
    <row r="938" ht="15.75" customHeight="1">
      <c r="D938" s="279"/>
    </row>
    <row r="939" ht="15.75" customHeight="1">
      <c r="D939" s="279"/>
    </row>
    <row r="940" ht="15.75" customHeight="1">
      <c r="D940" s="279"/>
    </row>
    <row r="941" ht="15.75" customHeight="1">
      <c r="D941" s="279"/>
    </row>
    <row r="942" ht="15.75" customHeight="1">
      <c r="D942" s="279"/>
    </row>
    <row r="943" ht="15.75" customHeight="1">
      <c r="D943" s="279"/>
    </row>
    <row r="944" ht="15.75" customHeight="1">
      <c r="D944" s="279"/>
    </row>
    <row r="945" ht="15.75" customHeight="1">
      <c r="D945" s="279"/>
    </row>
    <row r="946" ht="15.75" customHeight="1">
      <c r="D946" s="279"/>
    </row>
    <row r="947" ht="15.75" customHeight="1">
      <c r="D947" s="279"/>
    </row>
    <row r="948" ht="15.75" customHeight="1">
      <c r="D948" s="279"/>
    </row>
    <row r="949" ht="15.75" customHeight="1">
      <c r="D949" s="279"/>
    </row>
    <row r="950" ht="15.75" customHeight="1">
      <c r="D950" s="279"/>
    </row>
    <row r="951" ht="15.75" customHeight="1">
      <c r="D951" s="279"/>
    </row>
    <row r="952" ht="15.75" customHeight="1">
      <c r="D952" s="279"/>
    </row>
    <row r="953" ht="15.75" customHeight="1">
      <c r="D953" s="279"/>
    </row>
    <row r="954" ht="15.75" customHeight="1">
      <c r="D954" s="279"/>
    </row>
    <row r="955" ht="15.75" customHeight="1">
      <c r="D955" s="279"/>
    </row>
    <row r="956" ht="15.75" customHeight="1">
      <c r="D956" s="279"/>
    </row>
    <row r="957" ht="15.75" customHeight="1">
      <c r="D957" s="279"/>
    </row>
    <row r="958" ht="15.75" customHeight="1">
      <c r="D958" s="279"/>
    </row>
    <row r="959" ht="15.75" customHeight="1">
      <c r="D959" s="279"/>
    </row>
    <row r="960" ht="15.75" customHeight="1">
      <c r="D960" s="279"/>
    </row>
    <row r="961" ht="15.75" customHeight="1">
      <c r="D961" s="279"/>
    </row>
    <row r="962" ht="15.75" customHeight="1">
      <c r="D962" s="279"/>
    </row>
    <row r="963" ht="15.75" customHeight="1">
      <c r="D963" s="279"/>
    </row>
    <row r="964" ht="15.75" customHeight="1">
      <c r="D964" s="279"/>
    </row>
    <row r="965" ht="15.75" customHeight="1">
      <c r="D965" s="279"/>
    </row>
    <row r="966" ht="15.75" customHeight="1">
      <c r="D966" s="279"/>
    </row>
    <row r="967" ht="15.75" customHeight="1">
      <c r="D967" s="279"/>
    </row>
    <row r="968" ht="15.75" customHeight="1">
      <c r="D968" s="279"/>
    </row>
    <row r="969" ht="15.75" customHeight="1">
      <c r="D969" s="279"/>
    </row>
    <row r="970" ht="15.75" customHeight="1">
      <c r="D970" s="279"/>
    </row>
    <row r="971" ht="15.75" customHeight="1">
      <c r="D971" s="279"/>
    </row>
    <row r="972" ht="15.75" customHeight="1">
      <c r="D972" s="279"/>
    </row>
    <row r="973" ht="15.75" customHeight="1">
      <c r="D973" s="279"/>
    </row>
    <row r="974" ht="15.75" customHeight="1">
      <c r="D974" s="279"/>
    </row>
    <row r="975" ht="15.75" customHeight="1">
      <c r="D975" s="279"/>
    </row>
    <row r="976" ht="15.75" customHeight="1">
      <c r="D976" s="279"/>
    </row>
    <row r="977" ht="15.75" customHeight="1">
      <c r="D977" s="279"/>
    </row>
    <row r="978" ht="15.75" customHeight="1">
      <c r="D978" s="279"/>
    </row>
    <row r="979" ht="15.75" customHeight="1">
      <c r="D979" s="279"/>
    </row>
    <row r="980" ht="15.75" customHeight="1">
      <c r="D980" s="279"/>
    </row>
    <row r="981" ht="15.75" customHeight="1">
      <c r="D981" s="279"/>
    </row>
    <row r="982" ht="15.75" customHeight="1">
      <c r="D982" s="279"/>
    </row>
    <row r="983" ht="15.75" customHeight="1">
      <c r="D983" s="279"/>
    </row>
    <row r="984" ht="15.75" customHeight="1">
      <c r="D984" s="279"/>
    </row>
    <row r="985" ht="15.75" customHeight="1">
      <c r="D985" s="279"/>
    </row>
    <row r="986" ht="15.75" customHeight="1">
      <c r="D986" s="279"/>
    </row>
    <row r="987" ht="15.75" customHeight="1">
      <c r="D987" s="279"/>
    </row>
    <row r="988" ht="15.75" customHeight="1">
      <c r="D988" s="279"/>
    </row>
    <row r="989" ht="15.75" customHeight="1">
      <c r="D989" s="279"/>
    </row>
    <row r="990" ht="15.75" customHeight="1">
      <c r="D990" s="279"/>
    </row>
    <row r="991" ht="15.75" customHeight="1">
      <c r="D991" s="279"/>
    </row>
    <row r="992" ht="15.75" customHeight="1">
      <c r="D992" s="279"/>
    </row>
    <row r="993" ht="15.75" customHeight="1">
      <c r="D993" s="279"/>
    </row>
    <row r="994" ht="15.75" customHeight="1">
      <c r="D994" s="279"/>
    </row>
    <row r="995" ht="15.75" customHeight="1">
      <c r="D995" s="279"/>
    </row>
    <row r="996" ht="15.75" customHeight="1">
      <c r="D996" s="279"/>
    </row>
    <row r="997" ht="15.75" customHeight="1">
      <c r="D997" s="279"/>
    </row>
    <row r="998" ht="15.75" customHeight="1">
      <c r="D998" s="279"/>
    </row>
    <row r="999" ht="15.75" customHeight="1">
      <c r="D999" s="279"/>
    </row>
    <row r="1000" ht="15.75" customHeight="1">
      <c r="D1000" s="279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27" t="s">
        <v>139</v>
      </c>
      <c r="B1" s="327" t="s">
        <v>10</v>
      </c>
      <c r="C1" s="327" t="s">
        <v>82</v>
      </c>
      <c r="D1" s="328" t="s">
        <v>130</v>
      </c>
      <c r="E1" s="327" t="s">
        <v>17</v>
      </c>
      <c r="F1" s="327" t="s">
        <v>82</v>
      </c>
      <c r="G1" s="328" t="s">
        <v>130</v>
      </c>
      <c r="H1" s="327" t="s">
        <v>25</v>
      </c>
      <c r="I1" s="327" t="s">
        <v>82</v>
      </c>
      <c r="J1" s="327" t="s">
        <v>130</v>
      </c>
      <c r="K1" s="329" t="s">
        <v>143</v>
      </c>
      <c r="L1" s="327" t="s">
        <v>82</v>
      </c>
      <c r="M1" s="327" t="s">
        <v>130</v>
      </c>
      <c r="N1" s="329" t="s">
        <v>144</v>
      </c>
      <c r="O1" s="327" t="s">
        <v>82</v>
      </c>
      <c r="P1" s="327" t="s">
        <v>130</v>
      </c>
      <c r="Q1" s="327" t="s">
        <v>44</v>
      </c>
      <c r="R1" s="327" t="s">
        <v>82</v>
      </c>
      <c r="S1" s="327" t="s">
        <v>130</v>
      </c>
      <c r="T1" s="327" t="s">
        <v>51</v>
      </c>
      <c r="U1" s="327" t="s">
        <v>82</v>
      </c>
      <c r="V1" s="327" t="s">
        <v>130</v>
      </c>
      <c r="W1" s="327" t="s">
        <v>52</v>
      </c>
      <c r="X1" s="327" t="s">
        <v>82</v>
      </c>
      <c r="Y1" s="327" t="s">
        <v>130</v>
      </c>
      <c r="Z1" s="330" t="s">
        <v>59</v>
      </c>
      <c r="AA1" s="327" t="s">
        <v>82</v>
      </c>
      <c r="AB1" s="327" t="s">
        <v>130</v>
      </c>
      <c r="AC1" s="327" t="s">
        <v>66</v>
      </c>
      <c r="AD1" s="327" t="s">
        <v>82</v>
      </c>
      <c r="AE1" s="327" t="s">
        <v>130</v>
      </c>
      <c r="AF1" s="327" t="s">
        <v>67</v>
      </c>
      <c r="AG1" s="327" t="s">
        <v>82</v>
      </c>
      <c r="AH1" s="327" t="s">
        <v>130</v>
      </c>
      <c r="AI1" s="327" t="s">
        <v>74</v>
      </c>
      <c r="AJ1" s="327" t="s">
        <v>82</v>
      </c>
      <c r="AK1" s="327" t="s">
        <v>130</v>
      </c>
      <c r="AL1" s="327" t="s">
        <v>145</v>
      </c>
      <c r="AM1" s="327" t="s">
        <v>82</v>
      </c>
      <c r="AN1" s="327" t="s">
        <v>130</v>
      </c>
      <c r="AO1" s="327" t="s">
        <v>146</v>
      </c>
      <c r="AP1" s="327" t="s">
        <v>147</v>
      </c>
      <c r="AQ1" s="327" t="s">
        <v>149</v>
      </c>
      <c r="AR1" s="327" t="s">
        <v>150</v>
      </c>
      <c r="AS1" s="327" t="s">
        <v>151</v>
      </c>
      <c r="AT1" s="327" t="s">
        <v>152</v>
      </c>
      <c r="AU1" s="327" t="s">
        <v>153</v>
      </c>
    </row>
    <row r="2">
      <c r="A2" s="331" t="s">
        <v>131</v>
      </c>
      <c r="B2" s="369" t="str">
        <f>100%+'Quaterly Tables'!I3</f>
        <v>#REF!</v>
      </c>
      <c r="C2" s="356" t="str">
        <f t="shared" ref="C2:C6" si="1">IFS(B2="", "", B2&lt;90%,0, B2&lt;95%,1, B2&lt;=98%,2, B2&lt;=101%,3, B2&lt;=105%,4, TRUE,5)</f>
        <v>#REF!</v>
      </c>
      <c r="D2" s="357" t="str">
        <f t="shared" ref="D2:D6" si="2">IF(C2="","",C2*5/100)</f>
        <v>#REF!</v>
      </c>
      <c r="E2" s="358" t="str">
        <f>100%+'Quaterly Tables'!F3</f>
        <v>#REF!</v>
      </c>
      <c r="F2" s="359" t="str">
        <f t="shared" ref="F2:F6" si="3">IFS(E2="", "", E2&lt;90%,0, E2&lt;95%,1, E2&lt;=98%,2, E2&lt;=101%,3, E2&lt;=105%,4, TRUE,5)</f>
        <v>#REF!</v>
      </c>
      <c r="G2" s="360" t="str">
        <f t="shared" ref="G2:G6" si="4">IF(F2="","",F2*5/100)</f>
        <v>#REF!</v>
      </c>
      <c r="H2" s="369" t="str">
        <f>100%+'Quaterly Tables'!V3</f>
        <v>#REF!</v>
      </c>
      <c r="I2" s="356" t="str">
        <f t="shared" ref="I2:I6" si="5">IFS(H2="", "", H2&lt;75%,0, H2&lt;85%,1, H2&lt;95%,2, H2&lt;=100%,3, H2&lt;=105%,4, TRUE,5)</f>
        <v>#REF!</v>
      </c>
      <c r="J2" s="367" t="str">
        <f t="shared" ref="J2:J6" si="6">IF(I2="","",I2*15/100)</f>
        <v>#REF!</v>
      </c>
      <c r="K2" s="364" t="str">
        <f>'Quaterly Tables'!L3*100</f>
        <v>#REF!</v>
      </c>
      <c r="L2" s="359" t="str">
        <f t="shared" ref="L2:L6" si="7">IFS(K2="", "", K2&gt;=3,0, K2&gt;=2,1, K2&gt;=1,2, K2&gt;=0,3, K2&lt;=-1,5, K2&lt;=-0.5,4, TRUE,3)</f>
        <v>#REF!</v>
      </c>
      <c r="M2" s="365" t="str">
        <f t="shared" ref="M2:M6" si="8">IF(L2="","",L2*12.5/100)</f>
        <v>#REF!</v>
      </c>
      <c r="N2" s="366" t="str">
        <f>'Quaterly Tables'!O3*100</f>
        <v>#REF!</v>
      </c>
      <c r="O2" s="356" t="str">
        <f t="shared" ref="O2:O6" si="9">IFS(N2="", "", N2&gt;=3,0, N2&gt;=2,1, N2&gt;=1,2, N2&gt;=0,3, N2&lt;=-1,5, N2&lt;=-0.5,4, TRUE,3)</f>
        <v>#REF!</v>
      </c>
      <c r="P2" s="367" t="str">
        <f t="shared" ref="P2:P6" si="10">IF(O2="","",O2*12.5/100)</f>
        <v>#REF!</v>
      </c>
      <c r="Q2" s="430">
        <f>'Quaterly Tables'!H12</f>
        <v>5</v>
      </c>
      <c r="R2" s="333">
        <f t="shared" ref="R2:R6" si="11">IFS(Q2="", "", Q2="NA","" ,Q2&lt;3.8,0, Q2&lt;4,1, Q2&lt;4.3,2, Q2&lt;4.5,3, Q2&lt;4.7,4, TRUE,5)</f>
        <v>5</v>
      </c>
      <c r="S2" s="365">
        <f t="shared" ref="S2:S6" si="12">IF(R2="","",R2*17.5/100)</f>
        <v>0.875</v>
      </c>
      <c r="T2" s="369" t="str">
        <f>'Quaterly Tables'!F12</f>
        <v>NA</v>
      </c>
      <c r="U2" s="356" t="str">
        <f t="shared" ref="U2:U6" si="13">IFS(T2="", "", T2="NA","" ,T2&lt;3.8,0, T2&lt;4,1, T2&lt;4.3,2, T2&lt;4.5,3, T2&lt;4.7,4, TRUE,5)</f>
        <v/>
      </c>
      <c r="V2" s="367" t="str">
        <f t="shared" ref="V2:V6" si="14">IF(U2="","",U2*7.5/100)</f>
        <v/>
      </c>
      <c r="W2" s="370">
        <f>'Quaterly Tables'!I20</f>
        <v>0.0405</v>
      </c>
      <c r="X2" s="359">
        <f t="shared" ref="X2:X6" si="15">IFS(W2="", "", W2&gt;6%,0, W2&gt;4%,1, W2&gt;2%,2, W2&gt;1.5%,3, W2&gt;1%,4, TRUE,5)</f>
        <v>1</v>
      </c>
      <c r="Y2" s="365">
        <f t="shared" ref="Y2:Y6" si="16">IF(X2="","",X2*10/100)</f>
        <v>0.1</v>
      </c>
      <c r="Z2" s="371">
        <f>'Quaterly Tables'!H31</f>
        <v>0.57</v>
      </c>
      <c r="AA2" s="356">
        <f t="shared" ref="AA2:AA6" si="17">IFS(Z2="","", VALUE(Z2)&gt;8,0, VALUE(Z2)&gt;5,1, VALUE(Z2)&gt;2,2, VALUE(Z2)&gt;1.5,3, VALUE(Z2)&gt;1,4, TRUE,5)</f>
        <v>5</v>
      </c>
      <c r="AB2" s="367">
        <f t="shared" ref="AB2:AB6" si="18">IF(AA2="","",AA2*7.5/100)</f>
        <v>0.375</v>
      </c>
      <c r="AC2" s="372">
        <f>'Quaterly Tables'!E20</f>
        <v>4</v>
      </c>
      <c r="AD2" s="359">
        <f t="shared" ref="AD2:AD6" si="19">IFS(AC2="", "", AC2&lt;3.8,0, AC2&lt;4,1, AC2&lt;4.3,2, AC2&lt;4.5,3, AC2&lt;4.7,4, TRUE,5)</f>
        <v>2</v>
      </c>
      <c r="AE2" s="365">
        <f t="shared" ref="AE2:AE6" si="20">IF(AD2="","",AD2*7.5/100)</f>
        <v>0.15</v>
      </c>
      <c r="AF2" s="373">
        <v>86.0</v>
      </c>
      <c r="AG2" s="356">
        <f t="shared" ref="AG2:AG6" si="21">IFS(AF2="", "", AF2&lt;70,0, AF2&lt;75,1, AF2&lt;83,2, AF2&lt;89,3, AF2&lt;94,4, TRUE,5)</f>
        <v>3</v>
      </c>
      <c r="AH2" s="367">
        <f t="shared" ref="AH2:AH6" si="22">IF(AG2="","",AG2*12.5/100)</f>
        <v>0.375</v>
      </c>
      <c r="AI2" s="374">
        <v>90.0</v>
      </c>
      <c r="AJ2" s="359">
        <f t="shared" ref="AJ2:AJ6" si="23">IFS(AI2="", "", AI2&lt;70,0, AI2&lt;75,1, AI2&lt;83,2, AI2&lt;89,3, AI2&lt;94,4, TRUE,5)</f>
        <v>4</v>
      </c>
      <c r="AK2" s="365">
        <f t="shared" ref="AK2:AK6" si="24">IF(AJ2="","",AJ2*6.25/100)</f>
        <v>0.25</v>
      </c>
      <c r="AL2" s="373">
        <v>95.0</v>
      </c>
      <c r="AM2" s="356">
        <f t="shared" ref="AM2:AM6" si="25">IFS(AL2="", "", AL2&lt;70,0, AL2&lt;75,1, AL2&lt;83,2, AL2&lt;89,3, AL2&lt;94,4, TRUE,5)</f>
        <v>5</v>
      </c>
      <c r="AN2" s="367">
        <f t="shared" ref="AN2:AN6" si="26">IF(AM2="","",AM2*6.25/100)</f>
        <v>0.3125</v>
      </c>
      <c r="AO2" s="431">
        <v>89.0</v>
      </c>
      <c r="AP2" s="353" t="str">
        <f t="shared" ref="AP2:AP6" si="27">SUM(D2,G2,J2,M2,P2,S2,V2,Y2,AB2,AE2,AH2,AK2,AN2)</f>
        <v>#REF!</v>
      </c>
      <c r="AQ2" s="432" t="str">
        <f t="shared" ref="AQ2:AQ6" si="28">IF(AND(AP2&gt;=2.7,AO2&gt;=87),"Eligible","Not Eligible")</f>
        <v>#REF!</v>
      </c>
      <c r="AR2" s="433" t="str">
        <f t="shared" ref="AR2:AR6" si="29">IF(AQ2&lt;&gt;"Eligible",0,IF(AP2&lt;3.7,0.5,IF(AP2&lt;4.7,0.75,1)))</f>
        <v>#REF!</v>
      </c>
      <c r="AS2" s="434">
        <v>10000.0</v>
      </c>
      <c r="AT2" s="435" t="str">
        <f t="shared" ref="AT2:AT6" si="30">AS2*AR2</f>
        <v>#REF!</v>
      </c>
      <c r="AU2" s="435" t="str">
        <f t="shared" ref="AU2:AU6" si="31">AT2/4</f>
        <v>#REF!</v>
      </c>
    </row>
    <row r="3">
      <c r="A3" s="354" t="s">
        <v>132</v>
      </c>
      <c r="B3" s="369" t="str">
        <f>100%+'Quaterly Tables'!I4</f>
        <v>#DIV/0!</v>
      </c>
      <c r="C3" s="356" t="str">
        <f t="shared" si="1"/>
        <v>#DIV/0!</v>
      </c>
      <c r="D3" s="357" t="str">
        <f t="shared" si="2"/>
        <v>#DIV/0!</v>
      </c>
      <c r="E3" s="358" t="str">
        <f>100%+'Quaterly Tables'!F4</f>
        <v>#DIV/0!</v>
      </c>
      <c r="F3" s="359" t="str">
        <f t="shared" si="3"/>
        <v>#DIV/0!</v>
      </c>
      <c r="G3" s="360" t="str">
        <f t="shared" si="4"/>
        <v>#DIV/0!</v>
      </c>
      <c r="H3" s="436">
        <f>100%+'Quaterly Tables'!V4</f>
        <v>1</v>
      </c>
      <c r="I3" s="356">
        <f t="shared" si="5"/>
        <v>3</v>
      </c>
      <c r="J3" s="367">
        <f t="shared" si="6"/>
        <v>0.45</v>
      </c>
      <c r="K3" s="364">
        <f>'Quaterly Tables'!L4*100</f>
        <v>0</v>
      </c>
      <c r="L3" s="359">
        <f t="shared" si="7"/>
        <v>3</v>
      </c>
      <c r="M3" s="365">
        <f t="shared" si="8"/>
        <v>0.375</v>
      </c>
      <c r="N3" s="366">
        <f>'Quaterly Tables'!O4*100</f>
        <v>0</v>
      </c>
      <c r="O3" s="356">
        <f t="shared" si="9"/>
        <v>3</v>
      </c>
      <c r="P3" s="367">
        <f t="shared" si="10"/>
        <v>0.375</v>
      </c>
      <c r="Q3" s="368">
        <f>'Quaterly Tables'!H15</f>
        <v>4.75</v>
      </c>
      <c r="R3" s="356">
        <f t="shared" si="11"/>
        <v>5</v>
      </c>
      <c r="S3" s="365">
        <f t="shared" si="12"/>
        <v>0.875</v>
      </c>
      <c r="T3" s="369">
        <f>'Quaterly Tables'!F15</f>
        <v>4</v>
      </c>
      <c r="U3" s="356">
        <f t="shared" si="13"/>
        <v>2</v>
      </c>
      <c r="V3" s="367">
        <f t="shared" si="14"/>
        <v>0.15</v>
      </c>
      <c r="W3" s="370">
        <f>'Quaterly Tables'!I23</f>
        <v>0.0315</v>
      </c>
      <c r="X3" s="359">
        <f t="shared" si="15"/>
        <v>2</v>
      </c>
      <c r="Y3" s="365">
        <f t="shared" si="16"/>
        <v>0.2</v>
      </c>
      <c r="Z3" s="371">
        <f>'Quaterly Tables'!H34</f>
        <v>1.48</v>
      </c>
      <c r="AA3" s="356">
        <f t="shared" si="17"/>
        <v>4</v>
      </c>
      <c r="AB3" s="367">
        <f t="shared" si="18"/>
        <v>0.3</v>
      </c>
      <c r="AC3" s="372">
        <f>'Quaterly Tables'!E23</f>
        <v>4.4</v>
      </c>
      <c r="AD3" s="359">
        <f t="shared" si="19"/>
        <v>3</v>
      </c>
      <c r="AE3" s="365">
        <f t="shared" si="20"/>
        <v>0.225</v>
      </c>
      <c r="AF3" s="373">
        <v>67.0</v>
      </c>
      <c r="AG3" s="356">
        <f t="shared" si="21"/>
        <v>0</v>
      </c>
      <c r="AH3" s="367">
        <f t="shared" si="22"/>
        <v>0</v>
      </c>
      <c r="AI3" s="374">
        <v>70.0</v>
      </c>
      <c r="AJ3" s="359">
        <f t="shared" si="23"/>
        <v>1</v>
      </c>
      <c r="AK3" s="365">
        <f t="shared" si="24"/>
        <v>0.0625</v>
      </c>
      <c r="AL3" s="373">
        <v>76.0</v>
      </c>
      <c r="AM3" s="356">
        <f t="shared" si="25"/>
        <v>2</v>
      </c>
      <c r="AN3" s="367">
        <f t="shared" si="26"/>
        <v>0.125</v>
      </c>
      <c r="AO3" s="375">
        <v>87.0</v>
      </c>
      <c r="AP3" s="353" t="str">
        <f t="shared" si="27"/>
        <v>#DIV/0!</v>
      </c>
      <c r="AQ3" s="432" t="str">
        <f t="shared" si="28"/>
        <v>#DIV/0!</v>
      </c>
      <c r="AR3" s="433" t="str">
        <f t="shared" si="29"/>
        <v>#DIV/0!</v>
      </c>
      <c r="AS3" s="434">
        <v>10000.0</v>
      </c>
      <c r="AT3" s="435" t="str">
        <f t="shared" si="30"/>
        <v>#DIV/0!</v>
      </c>
      <c r="AU3" s="435" t="str">
        <f t="shared" si="31"/>
        <v>#DIV/0!</v>
      </c>
    </row>
    <row r="4">
      <c r="A4" s="354" t="s">
        <v>133</v>
      </c>
      <c r="B4" s="369" t="str">
        <f>100%+'Quaterly Tables'!I5</f>
        <v>#DIV/0!</v>
      </c>
      <c r="C4" s="356" t="str">
        <f t="shared" si="1"/>
        <v>#DIV/0!</v>
      </c>
      <c r="D4" s="357" t="str">
        <f t="shared" si="2"/>
        <v>#DIV/0!</v>
      </c>
      <c r="E4" s="358" t="str">
        <f>100%+'Quaterly Tables'!F5</f>
        <v>#DIV/0!</v>
      </c>
      <c r="F4" s="359" t="str">
        <f t="shared" si="3"/>
        <v>#DIV/0!</v>
      </c>
      <c r="G4" s="360" t="str">
        <f t="shared" si="4"/>
        <v>#DIV/0!</v>
      </c>
      <c r="H4" s="436">
        <f>100%+'Quaterly Tables'!V5</f>
        <v>1</v>
      </c>
      <c r="I4" s="356">
        <f t="shared" si="5"/>
        <v>3</v>
      </c>
      <c r="J4" s="367">
        <f t="shared" si="6"/>
        <v>0.45</v>
      </c>
      <c r="K4" s="364">
        <f>'Quaterly Tables'!L5*100</f>
        <v>0</v>
      </c>
      <c r="L4" s="359">
        <f t="shared" si="7"/>
        <v>3</v>
      </c>
      <c r="M4" s="365">
        <f t="shared" si="8"/>
        <v>0.375</v>
      </c>
      <c r="N4" s="366">
        <f>'Quaterly Tables'!O5*100</f>
        <v>0</v>
      </c>
      <c r="O4" s="356">
        <f t="shared" si="9"/>
        <v>3</v>
      </c>
      <c r="P4" s="367">
        <f t="shared" si="10"/>
        <v>0.375</v>
      </c>
      <c r="Q4" s="368">
        <f>'Quaterly Tables'!H13</f>
        <v>3.97</v>
      </c>
      <c r="R4" s="356">
        <f t="shared" si="11"/>
        <v>1</v>
      </c>
      <c r="S4" s="365">
        <f t="shared" si="12"/>
        <v>0.175</v>
      </c>
      <c r="T4" s="369">
        <f>'Quaterly Tables'!F13</f>
        <v>1</v>
      </c>
      <c r="U4" s="356">
        <f t="shared" si="13"/>
        <v>0</v>
      </c>
      <c r="V4" s="367">
        <f t="shared" si="14"/>
        <v>0</v>
      </c>
      <c r="W4" s="370">
        <f>'Quaterly Tables'!I21</f>
        <v>0.0264</v>
      </c>
      <c r="X4" s="359">
        <f t="shared" si="15"/>
        <v>2</v>
      </c>
      <c r="Y4" s="365">
        <f t="shared" si="16"/>
        <v>0.2</v>
      </c>
      <c r="Z4" s="371">
        <f>'Quaterly Tables'!H32</f>
        <v>0.59</v>
      </c>
      <c r="AA4" s="356">
        <f t="shared" si="17"/>
        <v>5</v>
      </c>
      <c r="AB4" s="367">
        <f t="shared" si="18"/>
        <v>0.375</v>
      </c>
      <c r="AC4" s="372">
        <f>'Quaterly Tables'!E21</f>
        <v>4.5</v>
      </c>
      <c r="AD4" s="359">
        <f t="shared" si="19"/>
        <v>4</v>
      </c>
      <c r="AE4" s="365">
        <f t="shared" si="20"/>
        <v>0.3</v>
      </c>
      <c r="AF4" s="373">
        <v>72.0</v>
      </c>
      <c r="AG4" s="356">
        <f t="shared" si="21"/>
        <v>1</v>
      </c>
      <c r="AH4" s="367">
        <f t="shared" si="22"/>
        <v>0.125</v>
      </c>
      <c r="AI4" s="374">
        <v>76.0</v>
      </c>
      <c r="AJ4" s="359">
        <f t="shared" si="23"/>
        <v>2</v>
      </c>
      <c r="AK4" s="365">
        <f t="shared" si="24"/>
        <v>0.125</v>
      </c>
      <c r="AL4" s="373">
        <v>78.0</v>
      </c>
      <c r="AM4" s="356">
        <f t="shared" si="25"/>
        <v>2</v>
      </c>
      <c r="AN4" s="367">
        <f t="shared" si="26"/>
        <v>0.125</v>
      </c>
      <c r="AO4" s="375">
        <v>93.0</v>
      </c>
      <c r="AP4" s="353" t="str">
        <f t="shared" si="27"/>
        <v>#DIV/0!</v>
      </c>
      <c r="AQ4" s="432" t="str">
        <f t="shared" si="28"/>
        <v>#DIV/0!</v>
      </c>
      <c r="AR4" s="433" t="str">
        <f t="shared" si="29"/>
        <v>#DIV/0!</v>
      </c>
      <c r="AS4" s="434">
        <v>10000.0</v>
      </c>
      <c r="AT4" s="435" t="str">
        <f t="shared" si="30"/>
        <v>#DIV/0!</v>
      </c>
      <c r="AU4" s="435" t="str">
        <f t="shared" si="31"/>
        <v>#DIV/0!</v>
      </c>
    </row>
    <row r="5">
      <c r="A5" s="354" t="s">
        <v>134</v>
      </c>
      <c r="B5" s="369" t="str">
        <f>100%+'Quaterly Tables'!I6</f>
        <v>#DIV/0!</v>
      </c>
      <c r="C5" s="356" t="str">
        <f t="shared" si="1"/>
        <v>#DIV/0!</v>
      </c>
      <c r="D5" s="357" t="str">
        <f t="shared" si="2"/>
        <v>#DIV/0!</v>
      </c>
      <c r="E5" s="358" t="str">
        <f>100%+'Quaterly Tables'!F6</f>
        <v>#DIV/0!</v>
      </c>
      <c r="F5" s="359" t="str">
        <f t="shared" si="3"/>
        <v>#DIV/0!</v>
      </c>
      <c r="G5" s="360" t="str">
        <f t="shared" si="4"/>
        <v>#DIV/0!</v>
      </c>
      <c r="H5" s="436">
        <f>100%+'Quaterly Tables'!V6</f>
        <v>1</v>
      </c>
      <c r="I5" s="356">
        <f t="shared" si="5"/>
        <v>3</v>
      </c>
      <c r="J5" s="367">
        <f t="shared" si="6"/>
        <v>0.45</v>
      </c>
      <c r="K5" s="364">
        <f>'Quaterly Tables'!L6*100</f>
        <v>0</v>
      </c>
      <c r="L5" s="359">
        <f t="shared" si="7"/>
        <v>3</v>
      </c>
      <c r="M5" s="365">
        <f t="shared" si="8"/>
        <v>0.375</v>
      </c>
      <c r="N5" s="366">
        <f>'Quaterly Tables'!O6*100</f>
        <v>0</v>
      </c>
      <c r="O5" s="356">
        <f t="shared" si="9"/>
        <v>3</v>
      </c>
      <c r="P5" s="367">
        <f t="shared" si="10"/>
        <v>0.375</v>
      </c>
      <c r="Q5" s="368">
        <f>'Quaterly Tables'!H14</f>
        <v>4.33</v>
      </c>
      <c r="R5" s="356">
        <f t="shared" si="11"/>
        <v>3</v>
      </c>
      <c r="S5" s="365">
        <f t="shared" si="12"/>
        <v>0.525</v>
      </c>
      <c r="T5" s="369" t="str">
        <f>'Quaterly Tables'!F14</f>
        <v>NA</v>
      </c>
      <c r="U5" s="356" t="str">
        <f t="shared" si="13"/>
        <v/>
      </c>
      <c r="V5" s="367" t="str">
        <f t="shared" si="14"/>
        <v/>
      </c>
      <c r="W5" s="370">
        <f>'Quaterly Tables'!I22</f>
        <v>0.0315</v>
      </c>
      <c r="X5" s="359">
        <f t="shared" si="15"/>
        <v>2</v>
      </c>
      <c r="Y5" s="365">
        <f t="shared" si="16"/>
        <v>0.2</v>
      </c>
      <c r="Z5" s="371">
        <f>'Quaterly Tables'!H33</f>
        <v>1.14</v>
      </c>
      <c r="AA5" s="356">
        <f t="shared" si="17"/>
        <v>4</v>
      </c>
      <c r="AB5" s="367">
        <f t="shared" si="18"/>
        <v>0.3</v>
      </c>
      <c r="AC5" s="372">
        <f>'Quaterly Tables'!E22</f>
        <v>4.3</v>
      </c>
      <c r="AD5" s="359">
        <f t="shared" si="19"/>
        <v>3</v>
      </c>
      <c r="AE5" s="365">
        <f t="shared" si="20"/>
        <v>0.225</v>
      </c>
      <c r="AF5" s="373">
        <v>70.0</v>
      </c>
      <c r="AG5" s="356">
        <f t="shared" si="21"/>
        <v>1</v>
      </c>
      <c r="AH5" s="367">
        <f t="shared" si="22"/>
        <v>0.125</v>
      </c>
      <c r="AI5" s="374">
        <v>75.0</v>
      </c>
      <c r="AJ5" s="359">
        <f t="shared" si="23"/>
        <v>2</v>
      </c>
      <c r="AK5" s="365">
        <f t="shared" si="24"/>
        <v>0.125</v>
      </c>
      <c r="AL5" s="373">
        <v>71.0</v>
      </c>
      <c r="AM5" s="356">
        <f t="shared" si="25"/>
        <v>1</v>
      </c>
      <c r="AN5" s="367">
        <f t="shared" si="26"/>
        <v>0.0625</v>
      </c>
      <c r="AO5" s="376">
        <v>80.0</v>
      </c>
      <c r="AP5" s="353" t="str">
        <f t="shared" si="27"/>
        <v>#DIV/0!</v>
      </c>
      <c r="AQ5" s="432" t="str">
        <f t="shared" si="28"/>
        <v>#DIV/0!</v>
      </c>
      <c r="AR5" s="433" t="str">
        <f t="shared" si="29"/>
        <v>#DIV/0!</v>
      </c>
      <c r="AS5" s="434">
        <v>10000.0</v>
      </c>
      <c r="AT5" s="435" t="str">
        <f t="shared" si="30"/>
        <v>#DIV/0!</v>
      </c>
      <c r="AU5" s="435" t="str">
        <f t="shared" si="31"/>
        <v>#DIV/0!</v>
      </c>
    </row>
    <row r="6">
      <c r="A6" s="331" t="s">
        <v>135</v>
      </c>
      <c r="B6" s="391" t="str">
        <f>100%+'Quaterly Tables'!I7</f>
        <v>#DIV/0!</v>
      </c>
      <c r="C6" s="378" t="str">
        <f t="shared" si="1"/>
        <v>#DIV/0!</v>
      </c>
      <c r="D6" s="379" t="str">
        <f t="shared" si="2"/>
        <v>#DIV/0!</v>
      </c>
      <c r="E6" s="380" t="str">
        <f>100%+'Quaterly Tables'!F7</f>
        <v>#DIV/0!</v>
      </c>
      <c r="F6" s="381" t="str">
        <f t="shared" si="3"/>
        <v>#DIV/0!</v>
      </c>
      <c r="G6" s="382" t="str">
        <f t="shared" si="4"/>
        <v>#DIV/0!</v>
      </c>
      <c r="H6" s="437">
        <f>100%+'Quaterly Tables'!V7</f>
        <v>1</v>
      </c>
      <c r="I6" s="378">
        <f t="shared" si="5"/>
        <v>3</v>
      </c>
      <c r="J6" s="389">
        <f t="shared" si="6"/>
        <v>0.45</v>
      </c>
      <c r="K6" s="386">
        <f>'Quaterly Tables'!L7*100</f>
        <v>0</v>
      </c>
      <c r="L6" s="381">
        <f t="shared" si="7"/>
        <v>3</v>
      </c>
      <c r="M6" s="387">
        <f t="shared" si="8"/>
        <v>0.375</v>
      </c>
      <c r="N6" s="388">
        <f>'Quaterly Tables'!O7*100</f>
        <v>0</v>
      </c>
      <c r="O6" s="378">
        <f t="shared" si="9"/>
        <v>3</v>
      </c>
      <c r="P6" s="389">
        <f t="shared" si="10"/>
        <v>0.375</v>
      </c>
      <c r="Q6" s="390">
        <f>'Quaterly Tables'!H16</f>
        <v>4.47</v>
      </c>
      <c r="R6" s="378">
        <f t="shared" si="11"/>
        <v>3</v>
      </c>
      <c r="S6" s="387">
        <f t="shared" si="12"/>
        <v>0.525</v>
      </c>
      <c r="T6" s="391" t="str">
        <f>'Quaterly Tables'!F16</f>
        <v>NA</v>
      </c>
      <c r="U6" s="378" t="str">
        <f t="shared" si="13"/>
        <v/>
      </c>
      <c r="V6" s="389" t="str">
        <f t="shared" si="14"/>
        <v/>
      </c>
      <c r="W6" s="392">
        <f>'Quaterly Tables'!I24</f>
        <v>0.045</v>
      </c>
      <c r="X6" s="381">
        <f t="shared" si="15"/>
        <v>1</v>
      </c>
      <c r="Y6" s="387">
        <f t="shared" si="16"/>
        <v>0.1</v>
      </c>
      <c r="Z6" s="393">
        <f>'Quaterly Tables'!H30</f>
        <v>2.03</v>
      </c>
      <c r="AA6" s="378">
        <f t="shared" si="17"/>
        <v>2</v>
      </c>
      <c r="AB6" s="389">
        <f t="shared" si="18"/>
        <v>0.15</v>
      </c>
      <c r="AC6" s="394">
        <f>'Quaterly Tables'!E24</f>
        <v>4.3</v>
      </c>
      <c r="AD6" s="381">
        <f t="shared" si="19"/>
        <v>3</v>
      </c>
      <c r="AE6" s="387">
        <f t="shared" si="20"/>
        <v>0.225</v>
      </c>
      <c r="AF6" s="395">
        <v>56.0</v>
      </c>
      <c r="AG6" s="378">
        <f t="shared" si="21"/>
        <v>0</v>
      </c>
      <c r="AH6" s="389">
        <f t="shared" si="22"/>
        <v>0</v>
      </c>
      <c r="AI6" s="396">
        <v>60.0</v>
      </c>
      <c r="AJ6" s="381">
        <f t="shared" si="23"/>
        <v>0</v>
      </c>
      <c r="AK6" s="387">
        <f t="shared" si="24"/>
        <v>0</v>
      </c>
      <c r="AL6" s="395">
        <v>60.0</v>
      </c>
      <c r="AM6" s="378">
        <f t="shared" si="25"/>
        <v>0</v>
      </c>
      <c r="AN6" s="389">
        <f t="shared" si="26"/>
        <v>0</v>
      </c>
      <c r="AO6" s="397">
        <v>78.0</v>
      </c>
      <c r="AP6" s="353" t="str">
        <f t="shared" si="27"/>
        <v>#DIV/0!</v>
      </c>
      <c r="AQ6" s="432" t="str">
        <f t="shared" si="28"/>
        <v>#DIV/0!</v>
      </c>
      <c r="AR6" s="433" t="str">
        <f t="shared" si="29"/>
        <v>#DIV/0!</v>
      </c>
      <c r="AS6" s="434">
        <v>10000.0</v>
      </c>
      <c r="AT6" s="435" t="str">
        <f t="shared" si="30"/>
        <v>#DIV/0!</v>
      </c>
      <c r="AU6" s="435" t="str">
        <f t="shared" si="31"/>
        <v>#DIV/0!</v>
      </c>
    </row>
    <row r="7">
      <c r="D7" s="158"/>
      <c r="G7" s="158"/>
      <c r="K7" s="276"/>
      <c r="N7" s="276"/>
      <c r="T7" s="277"/>
      <c r="Z7" s="278"/>
    </row>
    <row r="8">
      <c r="D8" s="158"/>
      <c r="G8" s="158"/>
      <c r="K8" s="276"/>
      <c r="N8" s="276"/>
      <c r="T8" s="277"/>
      <c r="Z8" s="278"/>
    </row>
    <row r="9">
      <c r="D9" s="158"/>
      <c r="G9" s="158"/>
      <c r="K9" s="276"/>
      <c r="N9" s="276"/>
      <c r="T9" s="277"/>
      <c r="Z9" s="278"/>
    </row>
    <row r="10">
      <c r="D10" s="158"/>
      <c r="G10" s="158"/>
      <c r="K10" s="276"/>
      <c r="N10" s="276"/>
      <c r="T10" s="277"/>
      <c r="Z10" s="278"/>
    </row>
    <row r="11">
      <c r="D11" s="158"/>
      <c r="G11" s="158"/>
      <c r="K11" s="276"/>
      <c r="N11" s="276"/>
      <c r="T11" s="277"/>
      <c r="Z11" s="278"/>
    </row>
    <row r="12">
      <c r="D12" s="158"/>
      <c r="G12" s="158"/>
      <c r="K12" s="276"/>
      <c r="N12" s="276"/>
      <c r="T12" s="277"/>
      <c r="Z12" s="278"/>
    </row>
    <row r="13">
      <c r="D13" s="158"/>
      <c r="G13" s="158"/>
      <c r="K13" s="276"/>
      <c r="N13" s="276"/>
      <c r="T13" s="277"/>
      <c r="Z13" s="278"/>
    </row>
    <row r="14">
      <c r="D14" s="158"/>
      <c r="G14" s="158"/>
      <c r="K14" s="276"/>
      <c r="N14" s="276"/>
      <c r="T14" s="277"/>
      <c r="Z14" s="278"/>
    </row>
    <row r="15">
      <c r="D15" s="158"/>
      <c r="G15" s="158"/>
      <c r="K15" s="276"/>
      <c r="N15" s="276"/>
      <c r="T15" s="277"/>
      <c r="Z15" s="278"/>
    </row>
    <row r="16">
      <c r="D16" s="158"/>
      <c r="G16" s="158"/>
      <c r="K16" s="276"/>
      <c r="N16" s="276"/>
      <c r="T16" s="277"/>
      <c r="Z16" s="278"/>
    </row>
    <row r="17">
      <c r="D17" s="158"/>
      <c r="G17" s="158"/>
      <c r="K17" s="276"/>
      <c r="N17" s="276"/>
      <c r="T17" s="277"/>
      <c r="Z17" s="278"/>
    </row>
    <row r="18">
      <c r="D18" s="158"/>
      <c r="G18" s="158"/>
      <c r="K18" s="276"/>
      <c r="N18" s="276"/>
      <c r="T18" s="277"/>
      <c r="Z18" s="278"/>
    </row>
    <row r="19">
      <c r="D19" s="158"/>
      <c r="G19" s="158"/>
      <c r="K19" s="276"/>
      <c r="N19" s="276"/>
      <c r="T19" s="277"/>
      <c r="Z19" s="278"/>
    </row>
    <row r="20">
      <c r="D20" s="158"/>
      <c r="G20" s="158"/>
      <c r="K20" s="276"/>
      <c r="N20" s="276"/>
      <c r="T20" s="277"/>
      <c r="Z20" s="278"/>
    </row>
    <row r="21" ht="15.75" customHeight="1">
      <c r="D21" s="158"/>
      <c r="G21" s="158"/>
      <c r="K21" s="276"/>
      <c r="N21" s="276"/>
      <c r="T21" s="277"/>
      <c r="Z21" s="278"/>
    </row>
    <row r="22" ht="15.75" customHeight="1">
      <c r="D22" s="158"/>
      <c r="G22" s="158"/>
      <c r="K22" s="276"/>
      <c r="N22" s="276"/>
      <c r="T22" s="277"/>
      <c r="Z22" s="278"/>
    </row>
    <row r="23" ht="15.75" customHeight="1">
      <c r="D23" s="158"/>
      <c r="G23" s="158"/>
      <c r="K23" s="276"/>
      <c r="N23" s="276"/>
      <c r="T23" s="277"/>
      <c r="Z23" s="278"/>
    </row>
    <row r="24" ht="15.75" customHeight="1">
      <c r="D24" s="158"/>
      <c r="G24" s="158"/>
      <c r="K24" s="276"/>
      <c r="N24" s="276"/>
      <c r="T24" s="277"/>
      <c r="Z24" s="278"/>
    </row>
    <row r="25" ht="15.75" customHeight="1">
      <c r="D25" s="158"/>
      <c r="G25" s="158"/>
      <c r="K25" s="276"/>
      <c r="N25" s="276"/>
      <c r="T25" s="277"/>
      <c r="Z25" s="278"/>
    </row>
    <row r="26" ht="15.75" customHeight="1">
      <c r="D26" s="158"/>
      <c r="G26" s="158"/>
      <c r="K26" s="276"/>
      <c r="N26" s="276"/>
      <c r="T26" s="277"/>
      <c r="Z26" s="278"/>
    </row>
    <row r="27" ht="15.75" customHeight="1">
      <c r="D27" s="158"/>
      <c r="G27" s="158"/>
      <c r="K27" s="276"/>
      <c r="N27" s="276"/>
      <c r="T27" s="277"/>
      <c r="Z27" s="278"/>
    </row>
    <row r="28" ht="15.75" customHeight="1">
      <c r="D28" s="158"/>
      <c r="G28" s="158"/>
      <c r="K28" s="276"/>
      <c r="N28" s="276"/>
      <c r="T28" s="277"/>
      <c r="Z28" s="278"/>
    </row>
    <row r="29" ht="15.75" customHeight="1">
      <c r="D29" s="158"/>
      <c r="G29" s="158"/>
      <c r="K29" s="276"/>
      <c r="N29" s="276"/>
      <c r="T29" s="277"/>
      <c r="Z29" s="278"/>
    </row>
    <row r="30" ht="15.75" customHeight="1">
      <c r="D30" s="158"/>
      <c r="G30" s="158"/>
      <c r="K30" s="276"/>
      <c r="N30" s="276"/>
      <c r="T30" s="277"/>
      <c r="Z30" s="278"/>
    </row>
    <row r="31" ht="15.75" customHeight="1">
      <c r="D31" s="158"/>
      <c r="G31" s="158"/>
      <c r="K31" s="276"/>
      <c r="N31" s="276"/>
      <c r="T31" s="277"/>
      <c r="Z31" s="278"/>
    </row>
    <row r="32" ht="15.75" customHeight="1">
      <c r="D32" s="158"/>
      <c r="G32" s="158"/>
      <c r="K32" s="276"/>
      <c r="N32" s="276"/>
      <c r="T32" s="277"/>
      <c r="Z32" s="278"/>
    </row>
    <row r="33" ht="15.75" customHeight="1">
      <c r="D33" s="158"/>
      <c r="G33" s="158"/>
      <c r="K33" s="276"/>
      <c r="N33" s="276"/>
      <c r="T33" s="277"/>
      <c r="Z33" s="278"/>
    </row>
    <row r="34" ht="15.75" customHeight="1">
      <c r="D34" s="158"/>
      <c r="G34" s="158"/>
      <c r="K34" s="276"/>
      <c r="N34" s="276"/>
      <c r="T34" s="277"/>
      <c r="Z34" s="278"/>
    </row>
    <row r="35" ht="15.75" customHeight="1">
      <c r="D35" s="158"/>
      <c r="G35" s="158"/>
      <c r="K35" s="276"/>
      <c r="N35" s="276"/>
      <c r="T35" s="277"/>
      <c r="Z35" s="278"/>
    </row>
    <row r="36" ht="15.75" customHeight="1">
      <c r="D36" s="158"/>
      <c r="G36" s="158"/>
      <c r="K36" s="276"/>
      <c r="N36" s="276"/>
      <c r="T36" s="277"/>
      <c r="Z36" s="278"/>
    </row>
    <row r="37" ht="15.75" customHeight="1">
      <c r="D37" s="158"/>
      <c r="G37" s="158"/>
      <c r="K37" s="276"/>
      <c r="N37" s="276"/>
      <c r="T37" s="277"/>
      <c r="Z37" s="278"/>
    </row>
    <row r="38" ht="15.75" customHeight="1">
      <c r="D38" s="158"/>
      <c r="G38" s="158"/>
      <c r="K38" s="276"/>
      <c r="N38" s="276"/>
      <c r="T38" s="277"/>
      <c r="Z38" s="278"/>
    </row>
    <row r="39" ht="15.75" customHeight="1">
      <c r="D39" s="158"/>
      <c r="G39" s="158"/>
      <c r="K39" s="276"/>
      <c r="N39" s="276"/>
      <c r="T39" s="277"/>
      <c r="Z39" s="278"/>
    </row>
    <row r="40" ht="15.75" customHeight="1">
      <c r="D40" s="158"/>
      <c r="G40" s="158"/>
      <c r="K40" s="276"/>
      <c r="N40" s="276"/>
      <c r="T40" s="277"/>
      <c r="Z40" s="278"/>
    </row>
    <row r="41" ht="15.75" customHeight="1">
      <c r="D41" s="158"/>
      <c r="G41" s="158"/>
      <c r="K41" s="276"/>
      <c r="N41" s="276"/>
      <c r="T41" s="277"/>
      <c r="Z41" s="278"/>
    </row>
    <row r="42" ht="15.75" customHeight="1">
      <c r="D42" s="158"/>
      <c r="G42" s="158"/>
      <c r="K42" s="276"/>
      <c r="N42" s="276"/>
      <c r="T42" s="277"/>
      <c r="Z42" s="278"/>
    </row>
    <row r="43" ht="15.75" customHeight="1">
      <c r="D43" s="158"/>
      <c r="G43" s="158"/>
      <c r="K43" s="276"/>
      <c r="N43" s="276"/>
      <c r="T43" s="277"/>
      <c r="Z43" s="278"/>
    </row>
    <row r="44" ht="15.75" customHeight="1">
      <c r="D44" s="158"/>
      <c r="G44" s="158"/>
      <c r="K44" s="276"/>
      <c r="N44" s="276"/>
      <c r="T44" s="277"/>
      <c r="Z44" s="278"/>
    </row>
    <row r="45" ht="15.75" customHeight="1">
      <c r="D45" s="158"/>
      <c r="G45" s="158"/>
      <c r="K45" s="276"/>
      <c r="N45" s="276"/>
      <c r="T45" s="277"/>
      <c r="Z45" s="278"/>
    </row>
    <row r="46" ht="15.75" customHeight="1">
      <c r="D46" s="158"/>
      <c r="G46" s="158"/>
      <c r="K46" s="276"/>
      <c r="N46" s="276"/>
      <c r="T46" s="277"/>
      <c r="Z46" s="278"/>
    </row>
    <row r="47" ht="15.75" customHeight="1">
      <c r="D47" s="158"/>
      <c r="G47" s="158"/>
      <c r="K47" s="276"/>
      <c r="N47" s="276"/>
      <c r="T47" s="277"/>
      <c r="Z47" s="278"/>
    </row>
    <row r="48" ht="15.75" customHeight="1">
      <c r="D48" s="158"/>
      <c r="G48" s="158"/>
      <c r="K48" s="276"/>
      <c r="N48" s="276"/>
      <c r="T48" s="277"/>
      <c r="Z48" s="278"/>
    </row>
    <row r="49" ht="15.75" customHeight="1">
      <c r="D49" s="158"/>
      <c r="G49" s="158"/>
      <c r="K49" s="276"/>
      <c r="N49" s="276"/>
      <c r="T49" s="277"/>
      <c r="Z49" s="278"/>
    </row>
    <row r="50" ht="15.75" customHeight="1">
      <c r="D50" s="158"/>
      <c r="G50" s="158"/>
      <c r="K50" s="276"/>
      <c r="N50" s="276"/>
      <c r="T50" s="277"/>
      <c r="Z50" s="278"/>
    </row>
    <row r="51" ht="15.75" customHeight="1">
      <c r="D51" s="158"/>
      <c r="G51" s="158"/>
      <c r="K51" s="276"/>
      <c r="N51" s="276"/>
      <c r="T51" s="277"/>
      <c r="Z51" s="278"/>
    </row>
    <row r="52" ht="15.75" customHeight="1">
      <c r="D52" s="158"/>
      <c r="G52" s="158"/>
      <c r="K52" s="276"/>
      <c r="N52" s="276"/>
      <c r="T52" s="277"/>
      <c r="Z52" s="278"/>
    </row>
    <row r="53" ht="15.75" customHeight="1">
      <c r="D53" s="158"/>
      <c r="G53" s="158"/>
      <c r="K53" s="276"/>
      <c r="N53" s="276"/>
      <c r="T53" s="277"/>
      <c r="Z53" s="278"/>
    </row>
    <row r="54" ht="15.75" customHeight="1">
      <c r="D54" s="158"/>
      <c r="G54" s="158"/>
      <c r="K54" s="276"/>
      <c r="N54" s="276"/>
      <c r="T54" s="277"/>
      <c r="Z54" s="278"/>
    </row>
    <row r="55" ht="15.75" customHeight="1">
      <c r="D55" s="158"/>
      <c r="G55" s="158"/>
      <c r="K55" s="276"/>
      <c r="N55" s="276"/>
      <c r="T55" s="277"/>
      <c r="Z55" s="278"/>
    </row>
    <row r="56" ht="15.75" customHeight="1">
      <c r="D56" s="158"/>
      <c r="G56" s="158"/>
      <c r="K56" s="276"/>
      <c r="N56" s="276"/>
      <c r="T56" s="277"/>
      <c r="Z56" s="278"/>
    </row>
    <row r="57" ht="15.75" customHeight="1">
      <c r="D57" s="158"/>
      <c r="G57" s="158"/>
      <c r="K57" s="276"/>
      <c r="N57" s="276"/>
      <c r="T57" s="277"/>
      <c r="Z57" s="278"/>
    </row>
    <row r="58" ht="15.75" customHeight="1">
      <c r="D58" s="158"/>
      <c r="G58" s="158"/>
      <c r="K58" s="276"/>
      <c r="N58" s="276"/>
      <c r="T58" s="277"/>
      <c r="Z58" s="278"/>
    </row>
    <row r="59" ht="15.75" customHeight="1">
      <c r="D59" s="158"/>
      <c r="G59" s="158"/>
      <c r="K59" s="276"/>
      <c r="N59" s="276"/>
      <c r="T59" s="277"/>
      <c r="Z59" s="278"/>
    </row>
    <row r="60" ht="15.75" customHeight="1">
      <c r="D60" s="158"/>
      <c r="G60" s="158"/>
      <c r="K60" s="276"/>
      <c r="N60" s="276"/>
      <c r="T60" s="277"/>
      <c r="Z60" s="278"/>
    </row>
    <row r="61" ht="15.75" customHeight="1">
      <c r="D61" s="158"/>
      <c r="G61" s="158"/>
      <c r="K61" s="276"/>
      <c r="N61" s="276"/>
      <c r="T61" s="277"/>
      <c r="Z61" s="278"/>
    </row>
    <row r="62" ht="15.75" customHeight="1">
      <c r="D62" s="158"/>
      <c r="G62" s="158"/>
      <c r="K62" s="276"/>
      <c r="N62" s="276"/>
      <c r="T62" s="277"/>
      <c r="Z62" s="278"/>
    </row>
    <row r="63" ht="15.75" customHeight="1">
      <c r="D63" s="158"/>
      <c r="G63" s="158"/>
      <c r="K63" s="276"/>
      <c r="N63" s="276"/>
      <c r="T63" s="277"/>
      <c r="Z63" s="278"/>
    </row>
    <row r="64" ht="15.75" customHeight="1">
      <c r="D64" s="158"/>
      <c r="G64" s="158"/>
      <c r="K64" s="276"/>
      <c r="N64" s="276"/>
      <c r="T64" s="277"/>
      <c r="Z64" s="278"/>
    </row>
    <row r="65" ht="15.75" customHeight="1">
      <c r="D65" s="158"/>
      <c r="G65" s="158"/>
      <c r="K65" s="276"/>
      <c r="N65" s="276"/>
      <c r="T65" s="277"/>
      <c r="Z65" s="278"/>
    </row>
    <row r="66" ht="15.75" customHeight="1">
      <c r="D66" s="158"/>
      <c r="G66" s="158"/>
      <c r="K66" s="276"/>
      <c r="N66" s="276"/>
      <c r="T66" s="277"/>
      <c r="Z66" s="278"/>
    </row>
    <row r="67" ht="15.75" customHeight="1">
      <c r="D67" s="158"/>
      <c r="G67" s="158"/>
      <c r="K67" s="276"/>
      <c r="N67" s="276"/>
      <c r="T67" s="277"/>
      <c r="Z67" s="278"/>
    </row>
    <row r="68" ht="15.75" customHeight="1">
      <c r="D68" s="158"/>
      <c r="G68" s="158"/>
      <c r="K68" s="276"/>
      <c r="N68" s="276"/>
      <c r="T68" s="277"/>
      <c r="Z68" s="278"/>
    </row>
    <row r="69" ht="15.75" customHeight="1">
      <c r="D69" s="158"/>
      <c r="G69" s="158"/>
      <c r="K69" s="276"/>
      <c r="N69" s="276"/>
      <c r="T69" s="277"/>
      <c r="Z69" s="278"/>
    </row>
    <row r="70" ht="15.75" customHeight="1">
      <c r="D70" s="158"/>
      <c r="G70" s="158"/>
      <c r="K70" s="276"/>
      <c r="N70" s="276"/>
      <c r="T70" s="277"/>
      <c r="Z70" s="278"/>
    </row>
    <row r="71" ht="15.75" customHeight="1">
      <c r="D71" s="158"/>
      <c r="G71" s="158"/>
      <c r="K71" s="276"/>
      <c r="N71" s="276"/>
      <c r="T71" s="277"/>
      <c r="Z71" s="278"/>
    </row>
    <row r="72" ht="15.75" customHeight="1">
      <c r="D72" s="158"/>
      <c r="G72" s="158"/>
      <c r="K72" s="276"/>
      <c r="N72" s="276"/>
      <c r="T72" s="277"/>
      <c r="Z72" s="278"/>
    </row>
    <row r="73" ht="15.75" customHeight="1">
      <c r="D73" s="158"/>
      <c r="G73" s="158"/>
      <c r="K73" s="276"/>
      <c r="N73" s="276"/>
      <c r="T73" s="277"/>
      <c r="Z73" s="278"/>
    </row>
    <row r="74" ht="15.75" customHeight="1">
      <c r="D74" s="158"/>
      <c r="G74" s="158"/>
      <c r="K74" s="276"/>
      <c r="N74" s="276"/>
      <c r="T74" s="277"/>
      <c r="Z74" s="278"/>
    </row>
    <row r="75" ht="15.75" customHeight="1">
      <c r="D75" s="158"/>
      <c r="G75" s="158"/>
      <c r="K75" s="276"/>
      <c r="N75" s="276"/>
      <c r="T75" s="277"/>
      <c r="Z75" s="278"/>
    </row>
    <row r="76" ht="15.75" customHeight="1">
      <c r="D76" s="158"/>
      <c r="G76" s="158"/>
      <c r="K76" s="276"/>
      <c r="N76" s="276"/>
      <c r="T76" s="277"/>
      <c r="Z76" s="278"/>
    </row>
    <row r="77" ht="15.75" customHeight="1">
      <c r="D77" s="158"/>
      <c r="G77" s="158"/>
      <c r="K77" s="276"/>
      <c r="N77" s="276"/>
      <c r="T77" s="277"/>
      <c r="Z77" s="278"/>
    </row>
    <row r="78" ht="15.75" customHeight="1">
      <c r="D78" s="158"/>
      <c r="G78" s="158"/>
      <c r="K78" s="276"/>
      <c r="N78" s="276"/>
      <c r="T78" s="277"/>
      <c r="Z78" s="278"/>
    </row>
    <row r="79" ht="15.75" customHeight="1">
      <c r="D79" s="158"/>
      <c r="G79" s="158"/>
      <c r="K79" s="276"/>
      <c r="N79" s="276"/>
      <c r="T79" s="277"/>
      <c r="Z79" s="278"/>
    </row>
    <row r="80" ht="15.75" customHeight="1">
      <c r="D80" s="158"/>
      <c r="G80" s="158"/>
      <c r="K80" s="276"/>
      <c r="N80" s="276"/>
      <c r="T80" s="277"/>
      <c r="Z80" s="278"/>
    </row>
    <row r="81" ht="15.75" customHeight="1">
      <c r="D81" s="158"/>
      <c r="G81" s="158"/>
      <c r="K81" s="276"/>
      <c r="N81" s="276"/>
      <c r="T81" s="277"/>
      <c r="Z81" s="278"/>
    </row>
    <row r="82" ht="15.75" customHeight="1">
      <c r="D82" s="158"/>
      <c r="G82" s="158"/>
      <c r="K82" s="276"/>
      <c r="N82" s="276"/>
      <c r="T82" s="277"/>
      <c r="Z82" s="278"/>
    </row>
    <row r="83" ht="15.75" customHeight="1">
      <c r="D83" s="158"/>
      <c r="G83" s="158"/>
      <c r="K83" s="276"/>
      <c r="N83" s="276"/>
      <c r="T83" s="277"/>
      <c r="Z83" s="278"/>
    </row>
    <row r="84" ht="15.75" customHeight="1">
      <c r="D84" s="158"/>
      <c r="G84" s="158"/>
      <c r="K84" s="276"/>
      <c r="N84" s="276"/>
      <c r="T84" s="277"/>
      <c r="Z84" s="278"/>
    </row>
    <row r="85" ht="15.75" customHeight="1">
      <c r="D85" s="158"/>
      <c r="G85" s="158"/>
      <c r="K85" s="276"/>
      <c r="N85" s="276"/>
      <c r="T85" s="277"/>
      <c r="Z85" s="278"/>
    </row>
    <row r="86" ht="15.75" customHeight="1">
      <c r="D86" s="158"/>
      <c r="G86" s="158"/>
      <c r="K86" s="276"/>
      <c r="N86" s="276"/>
      <c r="T86" s="277"/>
      <c r="Z86" s="278"/>
    </row>
    <row r="87" ht="15.75" customHeight="1">
      <c r="D87" s="158"/>
      <c r="G87" s="158"/>
      <c r="K87" s="276"/>
      <c r="N87" s="276"/>
      <c r="T87" s="277"/>
      <c r="Z87" s="278"/>
    </row>
    <row r="88" ht="15.75" customHeight="1">
      <c r="D88" s="158"/>
      <c r="G88" s="158"/>
      <c r="K88" s="276"/>
      <c r="N88" s="276"/>
      <c r="T88" s="277"/>
      <c r="Z88" s="278"/>
    </row>
    <row r="89" ht="15.75" customHeight="1">
      <c r="D89" s="158"/>
      <c r="G89" s="158"/>
      <c r="K89" s="276"/>
      <c r="N89" s="276"/>
      <c r="T89" s="277"/>
      <c r="Z89" s="278"/>
    </row>
    <row r="90" ht="15.75" customHeight="1">
      <c r="D90" s="158"/>
      <c r="G90" s="158"/>
      <c r="K90" s="276"/>
      <c r="N90" s="276"/>
      <c r="T90" s="277"/>
      <c r="Z90" s="278"/>
    </row>
    <row r="91" ht="15.75" customHeight="1">
      <c r="D91" s="158"/>
      <c r="G91" s="158"/>
      <c r="K91" s="276"/>
      <c r="N91" s="276"/>
      <c r="T91" s="277"/>
      <c r="Z91" s="278"/>
    </row>
    <row r="92" ht="15.75" customHeight="1">
      <c r="D92" s="158"/>
      <c r="G92" s="158"/>
      <c r="K92" s="276"/>
      <c r="N92" s="276"/>
      <c r="T92" s="277"/>
      <c r="Z92" s="278"/>
    </row>
    <row r="93" ht="15.75" customHeight="1">
      <c r="D93" s="158"/>
      <c r="G93" s="158"/>
      <c r="K93" s="276"/>
      <c r="N93" s="276"/>
      <c r="T93" s="277"/>
      <c r="Z93" s="278"/>
    </row>
    <row r="94" ht="15.75" customHeight="1">
      <c r="D94" s="158"/>
      <c r="G94" s="158"/>
      <c r="K94" s="276"/>
      <c r="N94" s="276"/>
      <c r="T94" s="277"/>
      <c r="Z94" s="278"/>
    </row>
    <row r="95" ht="15.75" customHeight="1">
      <c r="D95" s="158"/>
      <c r="G95" s="158"/>
      <c r="K95" s="276"/>
      <c r="N95" s="276"/>
      <c r="T95" s="277"/>
      <c r="Z95" s="278"/>
    </row>
    <row r="96" ht="15.75" customHeight="1">
      <c r="D96" s="158"/>
      <c r="G96" s="158"/>
      <c r="K96" s="276"/>
      <c r="N96" s="276"/>
      <c r="T96" s="277"/>
      <c r="Z96" s="278"/>
    </row>
    <row r="97" ht="15.75" customHeight="1">
      <c r="D97" s="158"/>
      <c r="G97" s="158"/>
      <c r="K97" s="276"/>
      <c r="N97" s="276"/>
      <c r="T97" s="277"/>
      <c r="Z97" s="278"/>
    </row>
    <row r="98" ht="15.75" customHeight="1">
      <c r="D98" s="158"/>
      <c r="G98" s="158"/>
      <c r="K98" s="276"/>
      <c r="N98" s="276"/>
      <c r="T98" s="277"/>
      <c r="Z98" s="278"/>
    </row>
    <row r="99" ht="15.75" customHeight="1">
      <c r="D99" s="158"/>
      <c r="G99" s="158"/>
      <c r="K99" s="276"/>
      <c r="N99" s="276"/>
      <c r="T99" s="277"/>
      <c r="Z99" s="278"/>
    </row>
    <row r="100" ht="15.75" customHeight="1">
      <c r="D100" s="158"/>
      <c r="G100" s="158"/>
      <c r="K100" s="276"/>
      <c r="N100" s="276"/>
      <c r="T100" s="277"/>
      <c r="Z100" s="278"/>
    </row>
    <row r="101" ht="15.75" customHeight="1">
      <c r="D101" s="158"/>
      <c r="G101" s="158"/>
      <c r="K101" s="276"/>
      <c r="N101" s="276"/>
      <c r="T101" s="277"/>
      <c r="Z101" s="278"/>
    </row>
    <row r="102" ht="15.75" customHeight="1">
      <c r="D102" s="158"/>
      <c r="G102" s="158"/>
      <c r="K102" s="276"/>
      <c r="N102" s="276"/>
      <c r="T102" s="277"/>
      <c r="Z102" s="278"/>
    </row>
    <row r="103" ht="15.75" customHeight="1">
      <c r="D103" s="158"/>
      <c r="G103" s="158"/>
      <c r="K103" s="276"/>
      <c r="N103" s="276"/>
      <c r="T103" s="277"/>
      <c r="Z103" s="278"/>
    </row>
    <row r="104" ht="15.75" customHeight="1">
      <c r="D104" s="158"/>
      <c r="G104" s="158"/>
      <c r="K104" s="276"/>
      <c r="N104" s="276"/>
      <c r="T104" s="277"/>
      <c r="Z104" s="278"/>
    </row>
    <row r="105" ht="15.75" customHeight="1">
      <c r="D105" s="158"/>
      <c r="G105" s="158"/>
      <c r="K105" s="276"/>
      <c r="N105" s="276"/>
      <c r="T105" s="277"/>
      <c r="Z105" s="278"/>
    </row>
    <row r="106" ht="15.75" customHeight="1">
      <c r="D106" s="158"/>
      <c r="G106" s="158"/>
      <c r="K106" s="276"/>
      <c r="N106" s="276"/>
      <c r="T106" s="277"/>
      <c r="Z106" s="278"/>
    </row>
    <row r="107" ht="15.75" customHeight="1">
      <c r="D107" s="158"/>
      <c r="G107" s="158"/>
      <c r="K107" s="276"/>
      <c r="N107" s="276"/>
      <c r="T107" s="277"/>
      <c r="Z107" s="278"/>
    </row>
    <row r="108" ht="15.75" customHeight="1">
      <c r="D108" s="158"/>
      <c r="G108" s="158"/>
      <c r="K108" s="276"/>
      <c r="N108" s="276"/>
      <c r="T108" s="277"/>
      <c r="Z108" s="278"/>
    </row>
    <row r="109" ht="15.75" customHeight="1">
      <c r="D109" s="158"/>
      <c r="G109" s="158"/>
      <c r="K109" s="276"/>
      <c r="N109" s="276"/>
      <c r="T109" s="277"/>
      <c r="Z109" s="278"/>
    </row>
    <row r="110" ht="15.75" customHeight="1">
      <c r="D110" s="158"/>
      <c r="G110" s="158"/>
      <c r="K110" s="276"/>
      <c r="N110" s="276"/>
      <c r="T110" s="277"/>
      <c r="Z110" s="278"/>
    </row>
    <row r="111" ht="15.75" customHeight="1">
      <c r="D111" s="158"/>
      <c r="G111" s="158"/>
      <c r="K111" s="276"/>
      <c r="N111" s="276"/>
      <c r="T111" s="277"/>
      <c r="Z111" s="278"/>
    </row>
    <row r="112" ht="15.75" customHeight="1">
      <c r="D112" s="158"/>
      <c r="G112" s="158"/>
      <c r="K112" s="276"/>
      <c r="N112" s="276"/>
      <c r="T112" s="277"/>
      <c r="Z112" s="278"/>
    </row>
    <row r="113" ht="15.75" customHeight="1">
      <c r="D113" s="158"/>
      <c r="G113" s="158"/>
      <c r="K113" s="276"/>
      <c r="N113" s="276"/>
      <c r="T113" s="277"/>
      <c r="Z113" s="278"/>
    </row>
    <row r="114" ht="15.75" customHeight="1">
      <c r="D114" s="158"/>
      <c r="G114" s="158"/>
      <c r="K114" s="276"/>
      <c r="N114" s="276"/>
      <c r="T114" s="277"/>
      <c r="Z114" s="278"/>
    </row>
    <row r="115" ht="15.75" customHeight="1">
      <c r="D115" s="158"/>
      <c r="G115" s="158"/>
      <c r="K115" s="276"/>
      <c r="N115" s="276"/>
      <c r="T115" s="277"/>
      <c r="Z115" s="278"/>
    </row>
    <row r="116" ht="15.75" customHeight="1">
      <c r="D116" s="158"/>
      <c r="G116" s="158"/>
      <c r="K116" s="276"/>
      <c r="N116" s="276"/>
      <c r="T116" s="277"/>
      <c r="Z116" s="278"/>
    </row>
    <row r="117" ht="15.75" customHeight="1">
      <c r="D117" s="158"/>
      <c r="G117" s="158"/>
      <c r="K117" s="276"/>
      <c r="N117" s="276"/>
      <c r="T117" s="277"/>
      <c r="Z117" s="278"/>
    </row>
    <row r="118" ht="15.75" customHeight="1">
      <c r="D118" s="158"/>
      <c r="G118" s="158"/>
      <c r="K118" s="276"/>
      <c r="N118" s="276"/>
      <c r="T118" s="277"/>
      <c r="Z118" s="278"/>
    </row>
    <row r="119" ht="15.75" customHeight="1">
      <c r="D119" s="158"/>
      <c r="G119" s="158"/>
      <c r="K119" s="276"/>
      <c r="N119" s="276"/>
      <c r="T119" s="277"/>
      <c r="Z119" s="278"/>
    </row>
    <row r="120" ht="15.75" customHeight="1">
      <c r="D120" s="158"/>
      <c r="G120" s="158"/>
      <c r="K120" s="276"/>
      <c r="N120" s="276"/>
      <c r="T120" s="277"/>
      <c r="Z120" s="278"/>
    </row>
    <row r="121" ht="15.75" customHeight="1">
      <c r="D121" s="158"/>
      <c r="G121" s="158"/>
      <c r="K121" s="276"/>
      <c r="N121" s="276"/>
      <c r="T121" s="277"/>
      <c r="Z121" s="278"/>
    </row>
    <row r="122" ht="15.75" customHeight="1">
      <c r="D122" s="158"/>
      <c r="G122" s="158"/>
      <c r="K122" s="276"/>
      <c r="N122" s="276"/>
      <c r="T122" s="277"/>
      <c r="Z122" s="278"/>
    </row>
    <row r="123" ht="15.75" customHeight="1">
      <c r="D123" s="158"/>
      <c r="G123" s="158"/>
      <c r="K123" s="276"/>
      <c r="N123" s="276"/>
      <c r="T123" s="277"/>
      <c r="Z123" s="278"/>
    </row>
    <row r="124" ht="15.75" customHeight="1">
      <c r="D124" s="158"/>
      <c r="G124" s="158"/>
      <c r="K124" s="276"/>
      <c r="N124" s="276"/>
      <c r="T124" s="277"/>
      <c r="Z124" s="278"/>
    </row>
    <row r="125" ht="15.75" customHeight="1">
      <c r="D125" s="158"/>
      <c r="G125" s="158"/>
      <c r="K125" s="276"/>
      <c r="N125" s="276"/>
      <c r="T125" s="277"/>
      <c r="Z125" s="278"/>
    </row>
    <row r="126" ht="15.75" customHeight="1">
      <c r="D126" s="158"/>
      <c r="G126" s="158"/>
      <c r="K126" s="276"/>
      <c r="N126" s="276"/>
      <c r="T126" s="277"/>
      <c r="Z126" s="278"/>
    </row>
    <row r="127" ht="15.75" customHeight="1">
      <c r="D127" s="158"/>
      <c r="G127" s="158"/>
      <c r="K127" s="276"/>
      <c r="N127" s="276"/>
      <c r="T127" s="277"/>
      <c r="Z127" s="278"/>
    </row>
    <row r="128" ht="15.75" customHeight="1">
      <c r="D128" s="158"/>
      <c r="G128" s="158"/>
      <c r="K128" s="276"/>
      <c r="N128" s="276"/>
      <c r="T128" s="277"/>
      <c r="Z128" s="278"/>
    </row>
    <row r="129" ht="15.75" customHeight="1">
      <c r="D129" s="158"/>
      <c r="G129" s="158"/>
      <c r="K129" s="276"/>
      <c r="N129" s="276"/>
      <c r="T129" s="277"/>
      <c r="Z129" s="278"/>
    </row>
    <row r="130" ht="15.75" customHeight="1">
      <c r="D130" s="158"/>
      <c r="G130" s="158"/>
      <c r="K130" s="276"/>
      <c r="N130" s="276"/>
      <c r="T130" s="277"/>
      <c r="Z130" s="278"/>
    </row>
    <row r="131" ht="15.75" customHeight="1">
      <c r="D131" s="158"/>
      <c r="G131" s="158"/>
      <c r="K131" s="276"/>
      <c r="N131" s="276"/>
      <c r="T131" s="277"/>
      <c r="Z131" s="278"/>
    </row>
    <row r="132" ht="15.75" customHeight="1">
      <c r="D132" s="158"/>
      <c r="G132" s="158"/>
      <c r="K132" s="276"/>
      <c r="N132" s="276"/>
      <c r="T132" s="277"/>
      <c r="Z132" s="278"/>
    </row>
    <row r="133" ht="15.75" customHeight="1">
      <c r="D133" s="158"/>
      <c r="G133" s="158"/>
      <c r="K133" s="276"/>
      <c r="N133" s="276"/>
      <c r="T133" s="277"/>
      <c r="Z133" s="278"/>
    </row>
    <row r="134" ht="15.75" customHeight="1">
      <c r="D134" s="158"/>
      <c r="G134" s="158"/>
      <c r="K134" s="276"/>
      <c r="N134" s="276"/>
      <c r="T134" s="277"/>
      <c r="Z134" s="278"/>
    </row>
    <row r="135" ht="15.75" customHeight="1">
      <c r="D135" s="158"/>
      <c r="G135" s="158"/>
      <c r="K135" s="276"/>
      <c r="N135" s="276"/>
      <c r="T135" s="277"/>
      <c r="Z135" s="278"/>
    </row>
    <row r="136" ht="15.75" customHeight="1">
      <c r="D136" s="158"/>
      <c r="G136" s="158"/>
      <c r="K136" s="276"/>
      <c r="N136" s="276"/>
      <c r="T136" s="277"/>
      <c r="Z136" s="278"/>
    </row>
    <row r="137" ht="15.75" customHeight="1">
      <c r="D137" s="158"/>
      <c r="G137" s="158"/>
      <c r="K137" s="276"/>
      <c r="N137" s="276"/>
      <c r="T137" s="277"/>
      <c r="Z137" s="278"/>
    </row>
    <row r="138" ht="15.75" customHeight="1">
      <c r="D138" s="158"/>
      <c r="G138" s="158"/>
      <c r="K138" s="276"/>
      <c r="N138" s="276"/>
      <c r="T138" s="277"/>
      <c r="Z138" s="278"/>
    </row>
    <row r="139" ht="15.75" customHeight="1">
      <c r="D139" s="158"/>
      <c r="G139" s="158"/>
      <c r="K139" s="276"/>
      <c r="N139" s="276"/>
      <c r="T139" s="277"/>
      <c r="Z139" s="278"/>
    </row>
    <row r="140" ht="15.75" customHeight="1">
      <c r="D140" s="158"/>
      <c r="G140" s="158"/>
      <c r="K140" s="276"/>
      <c r="N140" s="276"/>
      <c r="T140" s="277"/>
      <c r="Z140" s="278"/>
    </row>
    <row r="141" ht="15.75" customHeight="1">
      <c r="D141" s="158"/>
      <c r="G141" s="158"/>
      <c r="K141" s="276"/>
      <c r="N141" s="276"/>
      <c r="T141" s="277"/>
      <c r="Z141" s="278"/>
    </row>
    <row r="142" ht="15.75" customHeight="1">
      <c r="D142" s="158"/>
      <c r="G142" s="158"/>
      <c r="K142" s="276"/>
      <c r="N142" s="276"/>
      <c r="T142" s="277"/>
      <c r="Z142" s="278"/>
    </row>
    <row r="143" ht="15.75" customHeight="1">
      <c r="D143" s="158"/>
      <c r="G143" s="158"/>
      <c r="K143" s="276"/>
      <c r="N143" s="276"/>
      <c r="T143" s="277"/>
      <c r="Z143" s="278"/>
    </row>
    <row r="144" ht="15.75" customHeight="1">
      <c r="D144" s="158"/>
      <c r="G144" s="158"/>
      <c r="K144" s="276"/>
      <c r="N144" s="276"/>
      <c r="T144" s="277"/>
      <c r="Z144" s="278"/>
    </row>
    <row r="145" ht="15.75" customHeight="1">
      <c r="D145" s="158"/>
      <c r="G145" s="158"/>
      <c r="K145" s="276"/>
      <c r="N145" s="276"/>
      <c r="T145" s="277"/>
      <c r="Z145" s="278"/>
    </row>
    <row r="146" ht="15.75" customHeight="1">
      <c r="D146" s="158"/>
      <c r="G146" s="158"/>
      <c r="K146" s="276"/>
      <c r="N146" s="276"/>
      <c r="T146" s="277"/>
      <c r="Z146" s="278"/>
    </row>
    <row r="147" ht="15.75" customHeight="1">
      <c r="D147" s="158"/>
      <c r="G147" s="158"/>
      <c r="K147" s="276"/>
      <c r="N147" s="276"/>
      <c r="T147" s="277"/>
      <c r="Z147" s="278"/>
    </row>
    <row r="148" ht="15.75" customHeight="1">
      <c r="D148" s="158"/>
      <c r="G148" s="158"/>
      <c r="K148" s="276"/>
      <c r="N148" s="276"/>
      <c r="T148" s="277"/>
      <c r="Z148" s="278"/>
    </row>
    <row r="149" ht="15.75" customHeight="1">
      <c r="D149" s="158"/>
      <c r="G149" s="158"/>
      <c r="K149" s="276"/>
      <c r="N149" s="276"/>
      <c r="T149" s="277"/>
      <c r="Z149" s="278"/>
    </row>
    <row r="150" ht="15.75" customHeight="1">
      <c r="D150" s="158"/>
      <c r="G150" s="158"/>
      <c r="K150" s="276"/>
      <c r="N150" s="276"/>
      <c r="T150" s="277"/>
      <c r="Z150" s="278"/>
    </row>
    <row r="151" ht="15.75" customHeight="1">
      <c r="D151" s="158"/>
      <c r="G151" s="158"/>
      <c r="K151" s="276"/>
      <c r="N151" s="276"/>
      <c r="T151" s="277"/>
      <c r="Z151" s="278"/>
    </row>
    <row r="152" ht="15.75" customHeight="1">
      <c r="D152" s="158"/>
      <c r="G152" s="158"/>
      <c r="K152" s="276"/>
      <c r="N152" s="276"/>
      <c r="T152" s="277"/>
      <c r="Z152" s="278"/>
    </row>
    <row r="153" ht="15.75" customHeight="1">
      <c r="D153" s="158"/>
      <c r="G153" s="158"/>
      <c r="K153" s="276"/>
      <c r="N153" s="276"/>
      <c r="T153" s="277"/>
      <c r="Z153" s="278"/>
    </row>
    <row r="154" ht="15.75" customHeight="1">
      <c r="D154" s="158"/>
      <c r="G154" s="158"/>
      <c r="K154" s="276"/>
      <c r="N154" s="276"/>
      <c r="T154" s="277"/>
      <c r="Z154" s="278"/>
    </row>
    <row r="155" ht="15.75" customHeight="1">
      <c r="D155" s="158"/>
      <c r="G155" s="158"/>
      <c r="K155" s="276"/>
      <c r="N155" s="276"/>
      <c r="T155" s="277"/>
      <c r="Z155" s="278"/>
    </row>
    <row r="156" ht="15.75" customHeight="1">
      <c r="D156" s="158"/>
      <c r="G156" s="158"/>
      <c r="K156" s="276"/>
      <c r="N156" s="276"/>
      <c r="T156" s="277"/>
      <c r="Z156" s="278"/>
    </row>
    <row r="157" ht="15.75" customHeight="1">
      <c r="D157" s="158"/>
      <c r="G157" s="158"/>
      <c r="K157" s="276"/>
      <c r="N157" s="276"/>
      <c r="T157" s="277"/>
      <c r="Z157" s="278"/>
    </row>
    <row r="158" ht="15.75" customHeight="1">
      <c r="D158" s="158"/>
      <c r="G158" s="158"/>
      <c r="K158" s="276"/>
      <c r="N158" s="276"/>
      <c r="T158" s="277"/>
      <c r="Z158" s="278"/>
    </row>
    <row r="159" ht="15.75" customHeight="1">
      <c r="D159" s="158"/>
      <c r="G159" s="158"/>
      <c r="K159" s="276"/>
      <c r="N159" s="276"/>
      <c r="T159" s="277"/>
      <c r="Z159" s="278"/>
    </row>
    <row r="160" ht="15.75" customHeight="1">
      <c r="D160" s="158"/>
      <c r="G160" s="158"/>
      <c r="K160" s="276"/>
      <c r="N160" s="276"/>
      <c r="T160" s="277"/>
      <c r="Z160" s="278"/>
    </row>
    <row r="161" ht="15.75" customHeight="1">
      <c r="D161" s="158"/>
      <c r="G161" s="158"/>
      <c r="K161" s="276"/>
      <c r="N161" s="276"/>
      <c r="T161" s="277"/>
      <c r="Z161" s="278"/>
    </row>
    <row r="162" ht="15.75" customHeight="1">
      <c r="D162" s="158"/>
      <c r="G162" s="158"/>
      <c r="K162" s="276"/>
      <c r="N162" s="276"/>
      <c r="T162" s="277"/>
      <c r="Z162" s="278"/>
    </row>
    <row r="163" ht="15.75" customHeight="1">
      <c r="D163" s="158"/>
      <c r="G163" s="158"/>
      <c r="K163" s="276"/>
      <c r="N163" s="276"/>
      <c r="T163" s="277"/>
      <c r="Z163" s="278"/>
    </row>
    <row r="164" ht="15.75" customHeight="1">
      <c r="D164" s="158"/>
      <c r="G164" s="158"/>
      <c r="K164" s="276"/>
      <c r="N164" s="276"/>
      <c r="T164" s="277"/>
      <c r="Z164" s="278"/>
    </row>
    <row r="165" ht="15.75" customHeight="1">
      <c r="D165" s="158"/>
      <c r="G165" s="158"/>
      <c r="K165" s="276"/>
      <c r="N165" s="276"/>
      <c r="T165" s="277"/>
      <c r="Z165" s="278"/>
    </row>
    <row r="166" ht="15.75" customHeight="1">
      <c r="D166" s="158"/>
      <c r="G166" s="158"/>
      <c r="K166" s="276"/>
      <c r="N166" s="276"/>
      <c r="T166" s="277"/>
      <c r="Z166" s="278"/>
    </row>
    <row r="167" ht="15.75" customHeight="1">
      <c r="D167" s="158"/>
      <c r="G167" s="158"/>
      <c r="K167" s="276"/>
      <c r="N167" s="276"/>
      <c r="T167" s="277"/>
      <c r="Z167" s="278"/>
    </row>
    <row r="168" ht="15.75" customHeight="1">
      <c r="D168" s="158"/>
      <c r="G168" s="158"/>
      <c r="K168" s="276"/>
      <c r="N168" s="276"/>
      <c r="T168" s="277"/>
      <c r="Z168" s="278"/>
    </row>
    <row r="169" ht="15.75" customHeight="1">
      <c r="D169" s="158"/>
      <c r="G169" s="158"/>
      <c r="K169" s="276"/>
      <c r="N169" s="276"/>
      <c r="T169" s="277"/>
      <c r="Z169" s="278"/>
    </row>
    <row r="170" ht="15.75" customHeight="1">
      <c r="D170" s="158"/>
      <c r="G170" s="158"/>
      <c r="K170" s="276"/>
      <c r="N170" s="276"/>
      <c r="T170" s="277"/>
      <c r="Z170" s="278"/>
    </row>
    <row r="171" ht="15.75" customHeight="1">
      <c r="D171" s="158"/>
      <c r="G171" s="158"/>
      <c r="K171" s="276"/>
      <c r="N171" s="276"/>
      <c r="T171" s="277"/>
      <c r="Z171" s="278"/>
    </row>
    <row r="172" ht="15.75" customHeight="1">
      <c r="D172" s="158"/>
      <c r="G172" s="158"/>
      <c r="K172" s="276"/>
      <c r="N172" s="276"/>
      <c r="T172" s="277"/>
      <c r="Z172" s="278"/>
    </row>
    <row r="173" ht="15.75" customHeight="1">
      <c r="D173" s="158"/>
      <c r="G173" s="158"/>
      <c r="K173" s="276"/>
      <c r="N173" s="276"/>
      <c r="T173" s="277"/>
      <c r="Z173" s="278"/>
    </row>
    <row r="174" ht="15.75" customHeight="1">
      <c r="D174" s="158"/>
      <c r="G174" s="158"/>
      <c r="K174" s="276"/>
      <c r="N174" s="276"/>
      <c r="T174" s="277"/>
      <c r="Z174" s="278"/>
    </row>
    <row r="175" ht="15.75" customHeight="1">
      <c r="D175" s="158"/>
      <c r="G175" s="158"/>
      <c r="K175" s="276"/>
      <c r="N175" s="276"/>
      <c r="T175" s="277"/>
      <c r="Z175" s="278"/>
    </row>
    <row r="176" ht="15.75" customHeight="1">
      <c r="D176" s="158"/>
      <c r="G176" s="158"/>
      <c r="K176" s="276"/>
      <c r="N176" s="276"/>
      <c r="T176" s="277"/>
      <c r="Z176" s="278"/>
    </row>
    <row r="177" ht="15.75" customHeight="1">
      <c r="D177" s="158"/>
      <c r="G177" s="158"/>
      <c r="K177" s="276"/>
      <c r="N177" s="276"/>
      <c r="T177" s="277"/>
      <c r="Z177" s="278"/>
    </row>
    <row r="178" ht="15.75" customHeight="1">
      <c r="D178" s="158"/>
      <c r="G178" s="158"/>
      <c r="K178" s="276"/>
      <c r="N178" s="276"/>
      <c r="T178" s="277"/>
      <c r="Z178" s="278"/>
    </row>
    <row r="179" ht="15.75" customHeight="1">
      <c r="D179" s="158"/>
      <c r="G179" s="158"/>
      <c r="K179" s="276"/>
      <c r="N179" s="276"/>
      <c r="T179" s="277"/>
      <c r="Z179" s="278"/>
    </row>
    <row r="180" ht="15.75" customHeight="1">
      <c r="D180" s="158"/>
      <c r="G180" s="158"/>
      <c r="K180" s="276"/>
      <c r="N180" s="276"/>
      <c r="T180" s="277"/>
      <c r="Z180" s="278"/>
    </row>
    <row r="181" ht="15.75" customHeight="1">
      <c r="D181" s="158"/>
      <c r="G181" s="158"/>
      <c r="K181" s="276"/>
      <c r="N181" s="276"/>
      <c r="T181" s="277"/>
      <c r="Z181" s="278"/>
    </row>
    <row r="182" ht="15.75" customHeight="1">
      <c r="D182" s="158"/>
      <c r="G182" s="158"/>
      <c r="K182" s="276"/>
      <c r="N182" s="276"/>
      <c r="T182" s="277"/>
      <c r="Z182" s="278"/>
    </row>
    <row r="183" ht="15.75" customHeight="1">
      <c r="D183" s="158"/>
      <c r="G183" s="158"/>
      <c r="K183" s="276"/>
      <c r="N183" s="276"/>
      <c r="T183" s="277"/>
      <c r="Z183" s="278"/>
    </row>
    <row r="184" ht="15.75" customHeight="1">
      <c r="D184" s="158"/>
      <c r="G184" s="158"/>
      <c r="K184" s="276"/>
      <c r="N184" s="276"/>
      <c r="T184" s="277"/>
      <c r="Z184" s="278"/>
    </row>
    <row r="185" ht="15.75" customHeight="1">
      <c r="D185" s="158"/>
      <c r="G185" s="158"/>
      <c r="K185" s="276"/>
      <c r="N185" s="276"/>
      <c r="T185" s="277"/>
      <c r="Z185" s="278"/>
    </row>
    <row r="186" ht="15.75" customHeight="1">
      <c r="D186" s="158"/>
      <c r="G186" s="158"/>
      <c r="K186" s="276"/>
      <c r="N186" s="276"/>
      <c r="T186" s="277"/>
      <c r="Z186" s="278"/>
    </row>
    <row r="187" ht="15.75" customHeight="1">
      <c r="D187" s="158"/>
      <c r="G187" s="158"/>
      <c r="K187" s="276"/>
      <c r="N187" s="276"/>
      <c r="T187" s="277"/>
      <c r="Z187" s="278"/>
    </row>
    <row r="188" ht="15.75" customHeight="1">
      <c r="D188" s="158"/>
      <c r="G188" s="158"/>
      <c r="K188" s="276"/>
      <c r="N188" s="276"/>
      <c r="T188" s="277"/>
      <c r="Z188" s="278"/>
    </row>
    <row r="189" ht="15.75" customHeight="1">
      <c r="D189" s="158"/>
      <c r="G189" s="158"/>
      <c r="K189" s="276"/>
      <c r="N189" s="276"/>
      <c r="T189" s="277"/>
      <c r="Z189" s="278"/>
    </row>
    <row r="190" ht="15.75" customHeight="1">
      <c r="D190" s="158"/>
      <c r="G190" s="158"/>
      <c r="K190" s="276"/>
      <c r="N190" s="276"/>
      <c r="T190" s="277"/>
      <c r="Z190" s="278"/>
    </row>
    <row r="191" ht="15.75" customHeight="1">
      <c r="D191" s="158"/>
      <c r="G191" s="158"/>
      <c r="K191" s="276"/>
      <c r="N191" s="276"/>
      <c r="T191" s="277"/>
      <c r="Z191" s="278"/>
    </row>
    <row r="192" ht="15.75" customHeight="1">
      <c r="D192" s="158"/>
      <c r="G192" s="158"/>
      <c r="K192" s="276"/>
      <c r="N192" s="276"/>
      <c r="T192" s="277"/>
      <c r="Z192" s="278"/>
    </row>
    <row r="193" ht="15.75" customHeight="1">
      <c r="D193" s="158"/>
      <c r="G193" s="158"/>
      <c r="K193" s="276"/>
      <c r="N193" s="276"/>
      <c r="T193" s="277"/>
      <c r="Z193" s="278"/>
    </row>
    <row r="194" ht="15.75" customHeight="1">
      <c r="D194" s="158"/>
      <c r="G194" s="158"/>
      <c r="K194" s="276"/>
      <c r="N194" s="276"/>
      <c r="T194" s="277"/>
      <c r="Z194" s="278"/>
    </row>
    <row r="195" ht="15.75" customHeight="1">
      <c r="D195" s="158"/>
      <c r="G195" s="158"/>
      <c r="K195" s="276"/>
      <c r="N195" s="276"/>
      <c r="T195" s="277"/>
      <c r="Z195" s="278"/>
    </row>
    <row r="196" ht="15.75" customHeight="1">
      <c r="D196" s="158"/>
      <c r="G196" s="158"/>
      <c r="K196" s="276"/>
      <c r="N196" s="276"/>
      <c r="T196" s="277"/>
      <c r="Z196" s="278"/>
    </row>
    <row r="197" ht="15.75" customHeight="1">
      <c r="D197" s="158"/>
      <c r="G197" s="158"/>
      <c r="K197" s="276"/>
      <c r="N197" s="276"/>
      <c r="T197" s="277"/>
      <c r="Z197" s="278"/>
    </row>
    <row r="198" ht="15.75" customHeight="1">
      <c r="D198" s="158"/>
      <c r="G198" s="158"/>
      <c r="K198" s="276"/>
      <c r="N198" s="276"/>
      <c r="T198" s="277"/>
      <c r="Z198" s="278"/>
    </row>
    <row r="199" ht="15.75" customHeight="1">
      <c r="D199" s="158"/>
      <c r="G199" s="158"/>
      <c r="K199" s="276"/>
      <c r="N199" s="276"/>
      <c r="T199" s="277"/>
      <c r="Z199" s="278"/>
    </row>
    <row r="200" ht="15.75" customHeight="1">
      <c r="D200" s="158"/>
      <c r="G200" s="158"/>
      <c r="K200" s="276"/>
      <c r="N200" s="276"/>
      <c r="T200" s="277"/>
      <c r="Z200" s="278"/>
    </row>
    <row r="201" ht="15.75" customHeight="1">
      <c r="D201" s="158"/>
      <c r="G201" s="158"/>
      <c r="K201" s="276"/>
      <c r="N201" s="276"/>
      <c r="T201" s="277"/>
      <c r="Z201" s="278"/>
    </row>
    <row r="202" ht="15.75" customHeight="1">
      <c r="D202" s="158"/>
      <c r="G202" s="158"/>
      <c r="K202" s="276"/>
      <c r="N202" s="276"/>
      <c r="T202" s="277"/>
      <c r="Z202" s="278"/>
    </row>
    <row r="203" ht="15.75" customHeight="1">
      <c r="D203" s="158"/>
      <c r="G203" s="158"/>
      <c r="K203" s="276"/>
      <c r="N203" s="276"/>
      <c r="T203" s="277"/>
      <c r="Z203" s="278"/>
    </row>
    <row r="204" ht="15.75" customHeight="1">
      <c r="D204" s="158"/>
      <c r="G204" s="158"/>
      <c r="K204" s="276"/>
      <c r="N204" s="276"/>
      <c r="T204" s="277"/>
      <c r="Z204" s="278"/>
    </row>
    <row r="205" ht="15.75" customHeight="1">
      <c r="D205" s="158"/>
      <c r="G205" s="158"/>
      <c r="K205" s="276"/>
      <c r="N205" s="276"/>
      <c r="T205" s="277"/>
      <c r="Z205" s="278"/>
    </row>
    <row r="206" ht="15.75" customHeight="1">
      <c r="D206" s="158"/>
      <c r="G206" s="158"/>
      <c r="K206" s="276"/>
      <c r="N206" s="276"/>
      <c r="T206" s="277"/>
      <c r="Z206" s="278"/>
    </row>
    <row r="207" ht="15.75" customHeight="1">
      <c r="D207" s="158"/>
      <c r="G207" s="158"/>
      <c r="K207" s="276"/>
      <c r="N207" s="276"/>
      <c r="T207" s="277"/>
      <c r="Z207" s="278"/>
    </row>
    <row r="208" ht="15.75" customHeight="1">
      <c r="D208" s="158"/>
      <c r="G208" s="158"/>
      <c r="K208" s="276"/>
      <c r="N208" s="276"/>
      <c r="T208" s="277"/>
      <c r="Z208" s="278"/>
    </row>
    <row r="209" ht="15.75" customHeight="1">
      <c r="D209" s="158"/>
      <c r="G209" s="158"/>
      <c r="K209" s="276"/>
      <c r="N209" s="276"/>
      <c r="T209" s="277"/>
      <c r="Z209" s="278"/>
    </row>
    <row r="210" ht="15.75" customHeight="1">
      <c r="D210" s="158"/>
      <c r="G210" s="158"/>
      <c r="K210" s="276"/>
      <c r="N210" s="276"/>
      <c r="T210" s="277"/>
      <c r="Z210" s="278"/>
    </row>
    <row r="211" ht="15.75" customHeight="1">
      <c r="D211" s="158"/>
      <c r="G211" s="158"/>
      <c r="K211" s="276"/>
      <c r="N211" s="276"/>
      <c r="T211" s="277"/>
      <c r="Z211" s="278"/>
    </row>
    <row r="212" ht="15.75" customHeight="1">
      <c r="D212" s="158"/>
      <c r="G212" s="158"/>
      <c r="K212" s="276"/>
      <c r="N212" s="276"/>
      <c r="T212" s="277"/>
      <c r="Z212" s="278"/>
    </row>
    <row r="213" ht="15.75" customHeight="1">
      <c r="D213" s="158"/>
      <c r="G213" s="158"/>
      <c r="K213" s="276"/>
      <c r="N213" s="276"/>
      <c r="T213" s="277"/>
      <c r="Z213" s="278"/>
    </row>
    <row r="214" ht="15.75" customHeight="1">
      <c r="D214" s="158"/>
      <c r="G214" s="158"/>
      <c r="K214" s="276"/>
      <c r="N214" s="276"/>
      <c r="T214" s="277"/>
      <c r="Z214" s="278"/>
    </row>
    <row r="215" ht="15.75" customHeight="1">
      <c r="D215" s="158"/>
      <c r="G215" s="158"/>
      <c r="K215" s="276"/>
      <c r="N215" s="276"/>
      <c r="T215" s="277"/>
      <c r="Z215" s="278"/>
    </row>
    <row r="216" ht="15.75" customHeight="1">
      <c r="D216" s="158"/>
      <c r="G216" s="158"/>
      <c r="K216" s="276"/>
      <c r="N216" s="276"/>
      <c r="T216" s="277"/>
      <c r="Z216" s="278"/>
    </row>
    <row r="217" ht="15.75" customHeight="1">
      <c r="D217" s="158"/>
      <c r="G217" s="158"/>
      <c r="K217" s="276"/>
      <c r="N217" s="276"/>
      <c r="T217" s="277"/>
      <c r="Z217" s="278"/>
    </row>
    <row r="218" ht="15.75" customHeight="1">
      <c r="D218" s="158"/>
      <c r="G218" s="158"/>
      <c r="K218" s="276"/>
      <c r="N218" s="276"/>
      <c r="T218" s="277"/>
      <c r="Z218" s="278"/>
    </row>
    <row r="219" ht="15.75" customHeight="1">
      <c r="D219" s="158"/>
      <c r="G219" s="158"/>
      <c r="K219" s="276"/>
      <c r="N219" s="276"/>
      <c r="T219" s="277"/>
      <c r="Z219" s="278"/>
    </row>
    <row r="220" ht="15.75" customHeight="1">
      <c r="D220" s="158"/>
      <c r="G220" s="158"/>
      <c r="K220" s="276"/>
      <c r="N220" s="276"/>
      <c r="T220" s="277"/>
      <c r="Z220" s="278"/>
    </row>
    <row r="221" ht="15.75" customHeight="1">
      <c r="D221" s="158"/>
      <c r="G221" s="158"/>
      <c r="K221" s="276"/>
      <c r="N221" s="276"/>
      <c r="T221" s="277"/>
      <c r="Z221" s="278"/>
    </row>
    <row r="222" ht="15.75" customHeight="1">
      <c r="D222" s="158"/>
      <c r="G222" s="158"/>
      <c r="K222" s="276"/>
      <c r="N222" s="276"/>
      <c r="T222" s="277"/>
      <c r="Z222" s="278"/>
    </row>
    <row r="223" ht="15.75" customHeight="1">
      <c r="D223" s="158"/>
      <c r="G223" s="158"/>
      <c r="K223" s="276"/>
      <c r="N223" s="276"/>
      <c r="T223" s="277"/>
      <c r="Z223" s="278"/>
    </row>
    <row r="224" ht="15.75" customHeight="1">
      <c r="D224" s="158"/>
      <c r="G224" s="158"/>
      <c r="K224" s="276"/>
      <c r="N224" s="276"/>
      <c r="T224" s="277"/>
      <c r="Z224" s="278"/>
    </row>
    <row r="225" ht="15.75" customHeight="1">
      <c r="D225" s="158"/>
      <c r="G225" s="158"/>
      <c r="K225" s="276"/>
      <c r="N225" s="276"/>
      <c r="T225" s="277"/>
      <c r="Z225" s="278"/>
    </row>
    <row r="226" ht="15.75" customHeight="1">
      <c r="D226" s="158"/>
      <c r="G226" s="158"/>
      <c r="K226" s="276"/>
      <c r="N226" s="276"/>
      <c r="T226" s="277"/>
      <c r="Z226" s="278"/>
    </row>
    <row r="227" ht="15.75" customHeight="1">
      <c r="D227" s="158"/>
      <c r="G227" s="158"/>
      <c r="K227" s="276"/>
      <c r="N227" s="276"/>
      <c r="T227" s="277"/>
      <c r="Z227" s="278"/>
    </row>
    <row r="228" ht="15.75" customHeight="1">
      <c r="D228" s="158"/>
      <c r="G228" s="158"/>
      <c r="K228" s="276"/>
      <c r="N228" s="276"/>
      <c r="T228" s="277"/>
      <c r="Z228" s="278"/>
    </row>
    <row r="229" ht="15.75" customHeight="1">
      <c r="D229" s="158"/>
      <c r="G229" s="158"/>
      <c r="K229" s="276"/>
      <c r="N229" s="276"/>
      <c r="T229" s="277"/>
      <c r="Z229" s="278"/>
    </row>
    <row r="230" ht="15.75" customHeight="1">
      <c r="D230" s="158"/>
      <c r="G230" s="158"/>
      <c r="K230" s="276"/>
      <c r="N230" s="276"/>
      <c r="T230" s="277"/>
      <c r="Z230" s="278"/>
    </row>
    <row r="231" ht="15.75" customHeight="1">
      <c r="D231" s="158"/>
      <c r="G231" s="158"/>
      <c r="K231" s="276"/>
      <c r="N231" s="276"/>
      <c r="T231" s="277"/>
      <c r="Z231" s="278"/>
    </row>
    <row r="232" ht="15.75" customHeight="1">
      <c r="D232" s="158"/>
      <c r="G232" s="158"/>
      <c r="K232" s="276"/>
      <c r="N232" s="276"/>
      <c r="T232" s="277"/>
      <c r="Z232" s="278"/>
    </row>
    <row r="233" ht="15.75" customHeight="1">
      <c r="D233" s="158"/>
      <c r="G233" s="158"/>
      <c r="K233" s="276"/>
      <c r="N233" s="276"/>
      <c r="T233" s="277"/>
      <c r="Z233" s="278"/>
    </row>
    <row r="234" ht="15.75" customHeight="1">
      <c r="D234" s="158"/>
      <c r="G234" s="158"/>
      <c r="K234" s="276"/>
      <c r="N234" s="276"/>
      <c r="T234" s="277"/>
      <c r="Z234" s="278"/>
    </row>
    <row r="235" ht="15.75" customHeight="1">
      <c r="D235" s="158"/>
      <c r="G235" s="158"/>
      <c r="K235" s="276"/>
      <c r="N235" s="276"/>
      <c r="T235" s="277"/>
      <c r="Z235" s="278"/>
    </row>
    <row r="236" ht="15.75" customHeight="1">
      <c r="D236" s="158"/>
      <c r="G236" s="158"/>
      <c r="K236" s="276"/>
      <c r="N236" s="276"/>
      <c r="T236" s="277"/>
      <c r="Z236" s="278"/>
    </row>
    <row r="237" ht="15.75" customHeight="1">
      <c r="D237" s="158"/>
      <c r="G237" s="158"/>
      <c r="K237" s="276"/>
      <c r="N237" s="276"/>
      <c r="T237" s="277"/>
      <c r="Z237" s="278"/>
    </row>
    <row r="238" ht="15.75" customHeight="1">
      <c r="D238" s="158"/>
      <c r="G238" s="158"/>
      <c r="K238" s="276"/>
      <c r="N238" s="276"/>
      <c r="T238" s="277"/>
      <c r="Z238" s="278"/>
    </row>
    <row r="239" ht="15.75" customHeight="1">
      <c r="D239" s="158"/>
      <c r="G239" s="158"/>
      <c r="K239" s="276"/>
      <c r="N239" s="276"/>
      <c r="T239" s="277"/>
      <c r="Z239" s="278"/>
    </row>
    <row r="240" ht="15.75" customHeight="1">
      <c r="D240" s="158"/>
      <c r="G240" s="158"/>
      <c r="K240" s="276"/>
      <c r="N240" s="276"/>
      <c r="T240" s="277"/>
      <c r="Z240" s="278"/>
    </row>
    <row r="241" ht="15.75" customHeight="1">
      <c r="D241" s="158"/>
      <c r="G241" s="158"/>
      <c r="K241" s="276"/>
      <c r="N241" s="276"/>
      <c r="T241" s="277"/>
      <c r="Z241" s="278"/>
    </row>
    <row r="242" ht="15.75" customHeight="1">
      <c r="D242" s="158"/>
      <c r="G242" s="158"/>
      <c r="K242" s="276"/>
      <c r="N242" s="276"/>
      <c r="T242" s="277"/>
      <c r="Z242" s="278"/>
    </row>
    <row r="243" ht="15.75" customHeight="1">
      <c r="D243" s="158"/>
      <c r="G243" s="158"/>
      <c r="K243" s="276"/>
      <c r="N243" s="276"/>
      <c r="T243" s="277"/>
      <c r="Z243" s="278"/>
    </row>
    <row r="244" ht="15.75" customHeight="1">
      <c r="D244" s="158"/>
      <c r="G244" s="158"/>
      <c r="K244" s="276"/>
      <c r="N244" s="276"/>
      <c r="T244" s="277"/>
      <c r="Z244" s="278"/>
    </row>
    <row r="245" ht="15.75" customHeight="1">
      <c r="D245" s="158"/>
      <c r="G245" s="158"/>
      <c r="K245" s="276"/>
      <c r="N245" s="276"/>
      <c r="T245" s="277"/>
      <c r="Z245" s="278"/>
    </row>
    <row r="246" ht="15.75" customHeight="1">
      <c r="D246" s="158"/>
      <c r="G246" s="158"/>
      <c r="K246" s="276"/>
      <c r="N246" s="276"/>
      <c r="T246" s="277"/>
      <c r="Z246" s="278"/>
    </row>
    <row r="247" ht="15.75" customHeight="1">
      <c r="D247" s="158"/>
      <c r="G247" s="158"/>
      <c r="K247" s="276"/>
      <c r="N247" s="276"/>
      <c r="T247" s="277"/>
      <c r="Z247" s="278"/>
    </row>
    <row r="248" ht="15.75" customHeight="1">
      <c r="D248" s="158"/>
      <c r="G248" s="158"/>
      <c r="K248" s="276"/>
      <c r="N248" s="276"/>
      <c r="T248" s="277"/>
      <c r="Z248" s="278"/>
    </row>
    <row r="249" ht="15.75" customHeight="1">
      <c r="D249" s="158"/>
      <c r="G249" s="158"/>
      <c r="K249" s="276"/>
      <c r="N249" s="276"/>
      <c r="T249" s="277"/>
      <c r="Z249" s="278"/>
    </row>
    <row r="250" ht="15.75" customHeight="1">
      <c r="D250" s="158"/>
      <c r="G250" s="158"/>
      <c r="K250" s="276"/>
      <c r="N250" s="276"/>
      <c r="T250" s="277"/>
      <c r="Z250" s="278"/>
    </row>
    <row r="251" ht="15.75" customHeight="1">
      <c r="D251" s="158"/>
      <c r="G251" s="158"/>
      <c r="K251" s="276"/>
      <c r="N251" s="276"/>
      <c r="T251" s="277"/>
      <c r="Z251" s="278"/>
    </row>
    <row r="252" ht="15.75" customHeight="1">
      <c r="D252" s="158"/>
      <c r="G252" s="158"/>
      <c r="K252" s="276"/>
      <c r="N252" s="276"/>
      <c r="T252" s="277"/>
      <c r="Z252" s="278"/>
    </row>
    <row r="253" ht="15.75" customHeight="1">
      <c r="D253" s="158"/>
      <c r="G253" s="158"/>
      <c r="K253" s="276"/>
      <c r="N253" s="276"/>
      <c r="T253" s="277"/>
      <c r="Z253" s="278"/>
    </row>
    <row r="254" ht="15.75" customHeight="1">
      <c r="D254" s="158"/>
      <c r="G254" s="158"/>
      <c r="K254" s="276"/>
      <c r="N254" s="276"/>
      <c r="T254" s="277"/>
      <c r="Z254" s="278"/>
    </row>
    <row r="255" ht="15.75" customHeight="1">
      <c r="D255" s="158"/>
      <c r="G255" s="158"/>
      <c r="K255" s="276"/>
      <c r="N255" s="276"/>
      <c r="T255" s="277"/>
      <c r="Z255" s="278"/>
    </row>
    <row r="256" ht="15.75" customHeight="1">
      <c r="D256" s="158"/>
      <c r="G256" s="158"/>
      <c r="K256" s="276"/>
      <c r="N256" s="276"/>
      <c r="T256" s="277"/>
      <c r="Z256" s="278"/>
    </row>
    <row r="257" ht="15.75" customHeight="1">
      <c r="D257" s="158"/>
      <c r="G257" s="158"/>
      <c r="K257" s="276"/>
      <c r="N257" s="276"/>
      <c r="T257" s="277"/>
      <c r="Z257" s="278"/>
    </row>
    <row r="258" ht="15.75" customHeight="1">
      <c r="D258" s="158"/>
      <c r="G258" s="158"/>
      <c r="K258" s="276"/>
      <c r="N258" s="276"/>
      <c r="T258" s="277"/>
      <c r="Z258" s="278"/>
    </row>
    <row r="259" ht="15.75" customHeight="1">
      <c r="D259" s="158"/>
      <c r="G259" s="158"/>
      <c r="K259" s="276"/>
      <c r="N259" s="276"/>
      <c r="T259" s="277"/>
      <c r="Z259" s="278"/>
    </row>
    <row r="260" ht="15.75" customHeight="1">
      <c r="D260" s="158"/>
      <c r="G260" s="158"/>
      <c r="K260" s="276"/>
      <c r="N260" s="276"/>
      <c r="T260" s="277"/>
      <c r="Z260" s="278"/>
    </row>
    <row r="261" ht="15.75" customHeight="1">
      <c r="D261" s="158"/>
      <c r="G261" s="158"/>
      <c r="K261" s="276"/>
      <c r="N261" s="276"/>
      <c r="T261" s="277"/>
      <c r="Z261" s="278"/>
    </row>
    <row r="262" ht="15.75" customHeight="1">
      <c r="D262" s="158"/>
      <c r="G262" s="158"/>
      <c r="K262" s="276"/>
      <c r="N262" s="276"/>
      <c r="T262" s="277"/>
      <c r="Z262" s="278"/>
    </row>
    <row r="263" ht="15.75" customHeight="1">
      <c r="D263" s="158"/>
      <c r="G263" s="158"/>
      <c r="K263" s="276"/>
      <c r="N263" s="276"/>
      <c r="T263" s="277"/>
      <c r="Z263" s="278"/>
    </row>
    <row r="264" ht="15.75" customHeight="1">
      <c r="D264" s="158"/>
      <c r="G264" s="158"/>
      <c r="K264" s="276"/>
      <c r="N264" s="276"/>
      <c r="T264" s="277"/>
      <c r="Z264" s="278"/>
    </row>
    <row r="265" ht="15.75" customHeight="1">
      <c r="D265" s="158"/>
      <c r="G265" s="158"/>
      <c r="K265" s="276"/>
      <c r="N265" s="276"/>
      <c r="T265" s="277"/>
      <c r="Z265" s="278"/>
    </row>
    <row r="266" ht="15.75" customHeight="1">
      <c r="D266" s="158"/>
      <c r="G266" s="158"/>
      <c r="K266" s="276"/>
      <c r="N266" s="276"/>
      <c r="T266" s="277"/>
      <c r="Z266" s="278"/>
    </row>
    <row r="267" ht="15.75" customHeight="1">
      <c r="D267" s="158"/>
      <c r="G267" s="158"/>
      <c r="K267" s="276"/>
      <c r="N267" s="276"/>
      <c r="T267" s="277"/>
      <c r="Z267" s="278"/>
    </row>
    <row r="268" ht="15.75" customHeight="1">
      <c r="D268" s="158"/>
      <c r="G268" s="158"/>
      <c r="K268" s="276"/>
      <c r="N268" s="276"/>
      <c r="T268" s="277"/>
      <c r="Z268" s="278"/>
    </row>
    <row r="269" ht="15.75" customHeight="1">
      <c r="D269" s="158"/>
      <c r="G269" s="158"/>
      <c r="K269" s="276"/>
      <c r="N269" s="276"/>
      <c r="T269" s="277"/>
      <c r="Z269" s="278"/>
    </row>
    <row r="270" ht="15.75" customHeight="1">
      <c r="D270" s="158"/>
      <c r="G270" s="158"/>
      <c r="K270" s="276"/>
      <c r="N270" s="276"/>
      <c r="T270" s="277"/>
      <c r="Z270" s="278"/>
    </row>
    <row r="271" ht="15.75" customHeight="1">
      <c r="D271" s="158"/>
      <c r="G271" s="158"/>
      <c r="K271" s="276"/>
      <c r="N271" s="276"/>
      <c r="T271" s="277"/>
      <c r="Z271" s="278"/>
    </row>
    <row r="272" ht="15.75" customHeight="1">
      <c r="D272" s="158"/>
      <c r="G272" s="158"/>
      <c r="K272" s="276"/>
      <c r="N272" s="276"/>
      <c r="T272" s="277"/>
      <c r="Z272" s="278"/>
    </row>
    <row r="273" ht="15.75" customHeight="1">
      <c r="D273" s="158"/>
      <c r="G273" s="158"/>
      <c r="K273" s="276"/>
      <c r="N273" s="276"/>
      <c r="T273" s="277"/>
      <c r="Z273" s="278"/>
    </row>
    <row r="274" ht="15.75" customHeight="1">
      <c r="D274" s="158"/>
      <c r="G274" s="158"/>
      <c r="K274" s="276"/>
      <c r="N274" s="276"/>
      <c r="T274" s="277"/>
      <c r="Z274" s="278"/>
    </row>
    <row r="275" ht="15.75" customHeight="1">
      <c r="D275" s="158"/>
      <c r="G275" s="158"/>
      <c r="K275" s="276"/>
      <c r="N275" s="276"/>
      <c r="T275" s="277"/>
      <c r="Z275" s="278"/>
    </row>
    <row r="276" ht="15.75" customHeight="1">
      <c r="D276" s="158"/>
      <c r="G276" s="158"/>
      <c r="K276" s="276"/>
      <c r="N276" s="276"/>
      <c r="T276" s="277"/>
      <c r="Z276" s="278"/>
    </row>
    <row r="277" ht="15.75" customHeight="1">
      <c r="D277" s="158"/>
      <c r="G277" s="158"/>
      <c r="K277" s="276"/>
      <c r="N277" s="276"/>
      <c r="T277" s="277"/>
      <c r="Z277" s="278"/>
    </row>
    <row r="278" ht="15.75" customHeight="1">
      <c r="D278" s="158"/>
      <c r="G278" s="158"/>
      <c r="K278" s="276"/>
      <c r="N278" s="276"/>
      <c r="T278" s="277"/>
      <c r="Z278" s="278"/>
    </row>
    <row r="279" ht="15.75" customHeight="1">
      <c r="D279" s="158"/>
      <c r="G279" s="158"/>
      <c r="K279" s="276"/>
      <c r="N279" s="276"/>
      <c r="T279" s="277"/>
      <c r="Z279" s="278"/>
    </row>
    <row r="280" ht="15.75" customHeight="1">
      <c r="D280" s="158"/>
      <c r="G280" s="158"/>
      <c r="K280" s="276"/>
      <c r="N280" s="276"/>
      <c r="T280" s="277"/>
      <c r="Z280" s="278"/>
    </row>
    <row r="281" ht="15.75" customHeight="1">
      <c r="D281" s="158"/>
      <c r="G281" s="158"/>
      <c r="K281" s="276"/>
      <c r="N281" s="276"/>
      <c r="T281" s="277"/>
      <c r="Z281" s="278"/>
    </row>
    <row r="282" ht="15.75" customHeight="1">
      <c r="D282" s="158"/>
      <c r="G282" s="158"/>
      <c r="K282" s="276"/>
      <c r="N282" s="276"/>
      <c r="T282" s="277"/>
      <c r="Z282" s="278"/>
    </row>
    <row r="283" ht="15.75" customHeight="1">
      <c r="D283" s="158"/>
      <c r="G283" s="158"/>
      <c r="K283" s="276"/>
      <c r="N283" s="276"/>
      <c r="T283" s="277"/>
      <c r="Z283" s="278"/>
    </row>
    <row r="284" ht="15.75" customHeight="1">
      <c r="D284" s="158"/>
      <c r="G284" s="158"/>
      <c r="K284" s="276"/>
      <c r="N284" s="276"/>
      <c r="T284" s="277"/>
      <c r="Z284" s="278"/>
    </row>
    <row r="285" ht="15.75" customHeight="1">
      <c r="D285" s="158"/>
      <c r="G285" s="158"/>
      <c r="K285" s="276"/>
      <c r="N285" s="276"/>
      <c r="T285" s="277"/>
      <c r="Z285" s="278"/>
    </row>
    <row r="286" ht="15.75" customHeight="1">
      <c r="D286" s="158"/>
      <c r="G286" s="158"/>
      <c r="K286" s="276"/>
      <c r="N286" s="276"/>
      <c r="T286" s="277"/>
      <c r="Z286" s="278"/>
    </row>
    <row r="287" ht="15.75" customHeight="1">
      <c r="D287" s="158"/>
      <c r="G287" s="158"/>
      <c r="K287" s="276"/>
      <c r="N287" s="276"/>
      <c r="T287" s="277"/>
      <c r="Z287" s="278"/>
    </row>
    <row r="288" ht="15.75" customHeight="1">
      <c r="D288" s="158"/>
      <c r="G288" s="158"/>
      <c r="K288" s="276"/>
      <c r="N288" s="276"/>
      <c r="T288" s="277"/>
      <c r="Z288" s="278"/>
    </row>
    <row r="289" ht="15.75" customHeight="1">
      <c r="D289" s="158"/>
      <c r="G289" s="158"/>
      <c r="K289" s="276"/>
      <c r="N289" s="276"/>
      <c r="T289" s="277"/>
      <c r="Z289" s="278"/>
    </row>
    <row r="290" ht="15.75" customHeight="1">
      <c r="D290" s="158"/>
      <c r="G290" s="158"/>
      <c r="K290" s="276"/>
      <c r="N290" s="276"/>
      <c r="T290" s="277"/>
      <c r="Z290" s="278"/>
    </row>
    <row r="291" ht="15.75" customHeight="1">
      <c r="D291" s="158"/>
      <c r="G291" s="158"/>
      <c r="K291" s="276"/>
      <c r="N291" s="276"/>
      <c r="T291" s="277"/>
      <c r="Z291" s="278"/>
    </row>
    <row r="292" ht="15.75" customHeight="1">
      <c r="D292" s="158"/>
      <c r="G292" s="158"/>
      <c r="K292" s="276"/>
      <c r="N292" s="276"/>
      <c r="T292" s="277"/>
      <c r="Z292" s="278"/>
    </row>
    <row r="293" ht="15.75" customHeight="1">
      <c r="D293" s="158"/>
      <c r="G293" s="158"/>
      <c r="K293" s="276"/>
      <c r="N293" s="276"/>
      <c r="T293" s="277"/>
      <c r="Z293" s="278"/>
    </row>
    <row r="294" ht="15.75" customHeight="1">
      <c r="D294" s="158"/>
      <c r="G294" s="158"/>
      <c r="K294" s="276"/>
      <c r="N294" s="276"/>
      <c r="T294" s="277"/>
      <c r="Z294" s="278"/>
    </row>
    <row r="295" ht="15.75" customHeight="1">
      <c r="D295" s="158"/>
      <c r="G295" s="158"/>
      <c r="K295" s="276"/>
      <c r="N295" s="276"/>
      <c r="T295" s="277"/>
      <c r="Z295" s="278"/>
    </row>
    <row r="296" ht="15.75" customHeight="1">
      <c r="D296" s="158"/>
      <c r="G296" s="158"/>
      <c r="K296" s="276"/>
      <c r="N296" s="276"/>
      <c r="T296" s="277"/>
      <c r="Z296" s="278"/>
    </row>
    <row r="297" ht="15.75" customHeight="1">
      <c r="D297" s="158"/>
      <c r="G297" s="158"/>
      <c r="K297" s="276"/>
      <c r="N297" s="276"/>
      <c r="T297" s="277"/>
      <c r="Z297" s="278"/>
    </row>
    <row r="298" ht="15.75" customHeight="1">
      <c r="D298" s="158"/>
      <c r="G298" s="158"/>
      <c r="K298" s="276"/>
      <c r="N298" s="276"/>
      <c r="T298" s="277"/>
      <c r="Z298" s="278"/>
    </row>
    <row r="299" ht="15.75" customHeight="1">
      <c r="D299" s="158"/>
      <c r="G299" s="158"/>
      <c r="K299" s="276"/>
      <c r="N299" s="276"/>
      <c r="T299" s="277"/>
      <c r="Z299" s="278"/>
    </row>
    <row r="300" ht="15.75" customHeight="1">
      <c r="D300" s="158"/>
      <c r="G300" s="158"/>
      <c r="K300" s="276"/>
      <c r="N300" s="276"/>
      <c r="T300" s="277"/>
      <c r="Z300" s="278"/>
    </row>
    <row r="301" ht="15.75" customHeight="1">
      <c r="D301" s="158"/>
      <c r="G301" s="158"/>
      <c r="K301" s="276"/>
      <c r="N301" s="276"/>
      <c r="T301" s="277"/>
      <c r="Z301" s="278"/>
    </row>
    <row r="302" ht="15.75" customHeight="1">
      <c r="D302" s="158"/>
      <c r="G302" s="158"/>
      <c r="K302" s="276"/>
      <c r="N302" s="276"/>
      <c r="T302" s="277"/>
      <c r="Z302" s="278"/>
    </row>
    <row r="303" ht="15.75" customHeight="1">
      <c r="D303" s="158"/>
      <c r="G303" s="158"/>
      <c r="K303" s="276"/>
      <c r="N303" s="276"/>
      <c r="T303" s="277"/>
      <c r="Z303" s="278"/>
    </row>
    <row r="304" ht="15.75" customHeight="1">
      <c r="D304" s="158"/>
      <c r="G304" s="158"/>
      <c r="K304" s="276"/>
      <c r="N304" s="276"/>
      <c r="T304" s="277"/>
      <c r="Z304" s="278"/>
    </row>
    <row r="305" ht="15.75" customHeight="1">
      <c r="D305" s="158"/>
      <c r="G305" s="158"/>
      <c r="K305" s="276"/>
      <c r="N305" s="276"/>
      <c r="T305" s="277"/>
      <c r="Z305" s="278"/>
    </row>
    <row r="306" ht="15.75" customHeight="1">
      <c r="D306" s="158"/>
      <c r="G306" s="158"/>
      <c r="K306" s="276"/>
      <c r="N306" s="276"/>
      <c r="T306" s="277"/>
      <c r="Z306" s="278"/>
    </row>
    <row r="307" ht="15.75" customHeight="1">
      <c r="D307" s="158"/>
      <c r="G307" s="158"/>
      <c r="K307" s="276"/>
      <c r="N307" s="276"/>
      <c r="T307" s="277"/>
      <c r="Z307" s="278"/>
    </row>
    <row r="308" ht="15.75" customHeight="1">
      <c r="D308" s="158"/>
      <c r="G308" s="158"/>
      <c r="K308" s="276"/>
      <c r="N308" s="276"/>
      <c r="T308" s="277"/>
      <c r="Z308" s="278"/>
    </row>
    <row r="309" ht="15.75" customHeight="1">
      <c r="D309" s="158"/>
      <c r="G309" s="158"/>
      <c r="K309" s="276"/>
      <c r="N309" s="276"/>
      <c r="T309" s="277"/>
      <c r="Z309" s="278"/>
    </row>
    <row r="310" ht="15.75" customHeight="1">
      <c r="D310" s="158"/>
      <c r="G310" s="158"/>
      <c r="K310" s="276"/>
      <c r="N310" s="276"/>
      <c r="T310" s="277"/>
      <c r="Z310" s="278"/>
    </row>
    <row r="311" ht="15.75" customHeight="1">
      <c r="D311" s="158"/>
      <c r="G311" s="158"/>
      <c r="K311" s="276"/>
      <c r="N311" s="276"/>
      <c r="T311" s="277"/>
      <c r="Z311" s="278"/>
    </row>
    <row r="312" ht="15.75" customHeight="1">
      <c r="D312" s="158"/>
      <c r="G312" s="158"/>
      <c r="K312" s="276"/>
      <c r="N312" s="276"/>
      <c r="T312" s="277"/>
      <c r="Z312" s="278"/>
    </row>
    <row r="313" ht="15.75" customHeight="1">
      <c r="D313" s="158"/>
      <c r="G313" s="158"/>
      <c r="K313" s="276"/>
      <c r="N313" s="276"/>
      <c r="T313" s="277"/>
      <c r="Z313" s="278"/>
    </row>
    <row r="314" ht="15.75" customHeight="1">
      <c r="D314" s="158"/>
      <c r="G314" s="158"/>
      <c r="K314" s="276"/>
      <c r="N314" s="276"/>
      <c r="T314" s="277"/>
      <c r="Z314" s="278"/>
    </row>
    <row r="315" ht="15.75" customHeight="1">
      <c r="D315" s="158"/>
      <c r="G315" s="158"/>
      <c r="K315" s="276"/>
      <c r="N315" s="276"/>
      <c r="T315" s="277"/>
      <c r="Z315" s="278"/>
    </row>
    <row r="316" ht="15.75" customHeight="1">
      <c r="D316" s="158"/>
      <c r="G316" s="158"/>
      <c r="K316" s="276"/>
      <c r="N316" s="276"/>
      <c r="T316" s="277"/>
      <c r="Z316" s="278"/>
    </row>
    <row r="317" ht="15.75" customHeight="1">
      <c r="D317" s="158"/>
      <c r="G317" s="158"/>
      <c r="K317" s="276"/>
      <c r="N317" s="276"/>
      <c r="T317" s="277"/>
      <c r="Z317" s="278"/>
    </row>
    <row r="318" ht="15.75" customHeight="1">
      <c r="D318" s="158"/>
      <c r="G318" s="158"/>
      <c r="K318" s="276"/>
      <c r="N318" s="276"/>
      <c r="T318" s="277"/>
      <c r="Z318" s="278"/>
    </row>
    <row r="319" ht="15.75" customHeight="1">
      <c r="D319" s="158"/>
      <c r="G319" s="158"/>
      <c r="K319" s="276"/>
      <c r="N319" s="276"/>
      <c r="T319" s="277"/>
      <c r="Z319" s="278"/>
    </row>
    <row r="320" ht="15.75" customHeight="1">
      <c r="D320" s="158"/>
      <c r="G320" s="158"/>
      <c r="K320" s="276"/>
      <c r="N320" s="276"/>
      <c r="T320" s="277"/>
      <c r="Z320" s="278"/>
    </row>
    <row r="321" ht="15.75" customHeight="1">
      <c r="D321" s="158"/>
      <c r="G321" s="158"/>
      <c r="K321" s="276"/>
      <c r="N321" s="276"/>
      <c r="T321" s="277"/>
      <c r="Z321" s="278"/>
    </row>
    <row r="322" ht="15.75" customHeight="1">
      <c r="D322" s="158"/>
      <c r="G322" s="158"/>
      <c r="K322" s="276"/>
      <c r="N322" s="276"/>
      <c r="T322" s="277"/>
      <c r="Z322" s="278"/>
    </row>
    <row r="323" ht="15.75" customHeight="1">
      <c r="D323" s="158"/>
      <c r="G323" s="158"/>
      <c r="K323" s="276"/>
      <c r="N323" s="276"/>
      <c r="T323" s="277"/>
      <c r="Z323" s="278"/>
    </row>
    <row r="324" ht="15.75" customHeight="1">
      <c r="D324" s="158"/>
      <c r="G324" s="158"/>
      <c r="K324" s="276"/>
      <c r="N324" s="276"/>
      <c r="T324" s="277"/>
      <c r="Z324" s="278"/>
    </row>
    <row r="325" ht="15.75" customHeight="1">
      <c r="D325" s="158"/>
      <c r="G325" s="158"/>
      <c r="K325" s="276"/>
      <c r="N325" s="276"/>
      <c r="T325" s="277"/>
      <c r="Z325" s="278"/>
    </row>
    <row r="326" ht="15.75" customHeight="1">
      <c r="D326" s="158"/>
      <c r="G326" s="158"/>
      <c r="K326" s="276"/>
      <c r="N326" s="276"/>
      <c r="T326" s="277"/>
      <c r="Z326" s="278"/>
    </row>
    <row r="327" ht="15.75" customHeight="1">
      <c r="D327" s="158"/>
      <c r="G327" s="158"/>
      <c r="K327" s="276"/>
      <c r="N327" s="276"/>
      <c r="T327" s="277"/>
      <c r="Z327" s="278"/>
    </row>
    <row r="328" ht="15.75" customHeight="1">
      <c r="D328" s="158"/>
      <c r="G328" s="158"/>
      <c r="K328" s="276"/>
      <c r="N328" s="276"/>
      <c r="T328" s="277"/>
      <c r="Z328" s="278"/>
    </row>
    <row r="329" ht="15.75" customHeight="1">
      <c r="D329" s="158"/>
      <c r="G329" s="158"/>
      <c r="K329" s="276"/>
      <c r="N329" s="276"/>
      <c r="T329" s="277"/>
      <c r="Z329" s="278"/>
    </row>
    <row r="330" ht="15.75" customHeight="1">
      <c r="D330" s="158"/>
      <c r="G330" s="158"/>
      <c r="K330" s="276"/>
      <c r="N330" s="276"/>
      <c r="T330" s="277"/>
      <c r="Z330" s="278"/>
    </row>
    <row r="331" ht="15.75" customHeight="1">
      <c r="D331" s="158"/>
      <c r="G331" s="158"/>
      <c r="K331" s="276"/>
      <c r="N331" s="276"/>
      <c r="T331" s="277"/>
      <c r="Z331" s="278"/>
    </row>
    <row r="332" ht="15.75" customHeight="1">
      <c r="D332" s="158"/>
      <c r="G332" s="158"/>
      <c r="K332" s="276"/>
      <c r="N332" s="276"/>
      <c r="T332" s="277"/>
      <c r="Z332" s="278"/>
    </row>
    <row r="333" ht="15.75" customHeight="1">
      <c r="D333" s="158"/>
      <c r="G333" s="158"/>
      <c r="K333" s="276"/>
      <c r="N333" s="276"/>
      <c r="T333" s="277"/>
      <c r="Z333" s="278"/>
    </row>
    <row r="334" ht="15.75" customHeight="1">
      <c r="D334" s="158"/>
      <c r="G334" s="158"/>
      <c r="K334" s="276"/>
      <c r="N334" s="276"/>
      <c r="T334" s="277"/>
      <c r="Z334" s="278"/>
    </row>
    <row r="335" ht="15.75" customHeight="1">
      <c r="D335" s="158"/>
      <c r="G335" s="158"/>
      <c r="K335" s="276"/>
      <c r="N335" s="276"/>
      <c r="T335" s="277"/>
      <c r="Z335" s="278"/>
    </row>
    <row r="336" ht="15.75" customHeight="1">
      <c r="D336" s="158"/>
      <c r="G336" s="158"/>
      <c r="K336" s="276"/>
      <c r="N336" s="276"/>
      <c r="T336" s="277"/>
      <c r="Z336" s="278"/>
    </row>
    <row r="337" ht="15.75" customHeight="1">
      <c r="D337" s="158"/>
      <c r="G337" s="158"/>
      <c r="K337" s="276"/>
      <c r="N337" s="276"/>
      <c r="T337" s="277"/>
      <c r="Z337" s="278"/>
    </row>
    <row r="338" ht="15.75" customHeight="1">
      <c r="D338" s="158"/>
      <c r="G338" s="158"/>
      <c r="K338" s="276"/>
      <c r="N338" s="276"/>
      <c r="T338" s="277"/>
      <c r="Z338" s="278"/>
    </row>
    <row r="339" ht="15.75" customHeight="1">
      <c r="D339" s="158"/>
      <c r="G339" s="158"/>
      <c r="K339" s="276"/>
      <c r="N339" s="276"/>
      <c r="T339" s="277"/>
      <c r="Z339" s="278"/>
    </row>
    <row r="340" ht="15.75" customHeight="1">
      <c r="D340" s="158"/>
      <c r="G340" s="158"/>
      <c r="K340" s="276"/>
      <c r="N340" s="276"/>
      <c r="T340" s="277"/>
      <c r="Z340" s="278"/>
    </row>
    <row r="341" ht="15.75" customHeight="1">
      <c r="D341" s="158"/>
      <c r="G341" s="158"/>
      <c r="K341" s="276"/>
      <c r="N341" s="276"/>
      <c r="T341" s="277"/>
      <c r="Z341" s="278"/>
    </row>
    <row r="342" ht="15.75" customHeight="1">
      <c r="D342" s="158"/>
      <c r="G342" s="158"/>
      <c r="K342" s="276"/>
      <c r="N342" s="276"/>
      <c r="T342" s="277"/>
      <c r="Z342" s="278"/>
    </row>
    <row r="343" ht="15.75" customHeight="1">
      <c r="D343" s="158"/>
      <c r="G343" s="158"/>
      <c r="K343" s="276"/>
      <c r="N343" s="276"/>
      <c r="T343" s="277"/>
      <c r="Z343" s="278"/>
    </row>
    <row r="344" ht="15.75" customHeight="1">
      <c r="D344" s="158"/>
      <c r="G344" s="158"/>
      <c r="K344" s="276"/>
      <c r="N344" s="276"/>
      <c r="T344" s="277"/>
      <c r="Z344" s="278"/>
    </row>
    <row r="345" ht="15.75" customHeight="1">
      <c r="D345" s="158"/>
      <c r="G345" s="158"/>
      <c r="K345" s="276"/>
      <c r="N345" s="276"/>
      <c r="T345" s="277"/>
      <c r="Z345" s="278"/>
    </row>
    <row r="346" ht="15.75" customHeight="1">
      <c r="D346" s="158"/>
      <c r="G346" s="158"/>
      <c r="K346" s="276"/>
      <c r="N346" s="276"/>
      <c r="T346" s="277"/>
      <c r="Z346" s="278"/>
    </row>
    <row r="347" ht="15.75" customHeight="1">
      <c r="D347" s="158"/>
      <c r="G347" s="158"/>
      <c r="K347" s="276"/>
      <c r="N347" s="276"/>
      <c r="T347" s="277"/>
      <c r="Z347" s="278"/>
    </row>
    <row r="348" ht="15.75" customHeight="1">
      <c r="D348" s="158"/>
      <c r="G348" s="158"/>
      <c r="K348" s="276"/>
      <c r="N348" s="276"/>
      <c r="T348" s="277"/>
      <c r="Z348" s="278"/>
    </row>
    <row r="349" ht="15.75" customHeight="1">
      <c r="D349" s="158"/>
      <c r="G349" s="158"/>
      <c r="K349" s="276"/>
      <c r="N349" s="276"/>
      <c r="T349" s="277"/>
      <c r="Z349" s="278"/>
    </row>
    <row r="350" ht="15.75" customHeight="1">
      <c r="D350" s="158"/>
      <c r="G350" s="158"/>
      <c r="K350" s="276"/>
      <c r="N350" s="276"/>
      <c r="T350" s="277"/>
      <c r="Z350" s="278"/>
    </row>
    <row r="351" ht="15.75" customHeight="1">
      <c r="D351" s="158"/>
      <c r="G351" s="158"/>
      <c r="K351" s="276"/>
      <c r="N351" s="276"/>
      <c r="T351" s="277"/>
      <c r="Z351" s="278"/>
    </row>
    <row r="352" ht="15.75" customHeight="1">
      <c r="D352" s="158"/>
      <c r="G352" s="158"/>
      <c r="K352" s="276"/>
      <c r="N352" s="276"/>
      <c r="T352" s="277"/>
      <c r="Z352" s="278"/>
    </row>
    <row r="353" ht="15.75" customHeight="1">
      <c r="D353" s="158"/>
      <c r="G353" s="158"/>
      <c r="K353" s="276"/>
      <c r="N353" s="276"/>
      <c r="T353" s="277"/>
      <c r="Z353" s="278"/>
    </row>
    <row r="354" ht="15.75" customHeight="1">
      <c r="D354" s="158"/>
      <c r="G354" s="158"/>
      <c r="K354" s="276"/>
      <c r="N354" s="276"/>
      <c r="T354" s="277"/>
      <c r="Z354" s="278"/>
    </row>
    <row r="355" ht="15.75" customHeight="1">
      <c r="D355" s="158"/>
      <c r="G355" s="158"/>
      <c r="K355" s="276"/>
      <c r="N355" s="276"/>
      <c r="T355" s="277"/>
      <c r="Z355" s="278"/>
    </row>
    <row r="356" ht="15.75" customHeight="1">
      <c r="D356" s="158"/>
      <c r="G356" s="158"/>
      <c r="K356" s="276"/>
      <c r="N356" s="276"/>
      <c r="T356" s="277"/>
      <c r="Z356" s="278"/>
    </row>
    <row r="357" ht="15.75" customHeight="1">
      <c r="D357" s="158"/>
      <c r="G357" s="158"/>
      <c r="K357" s="276"/>
      <c r="N357" s="276"/>
      <c r="T357" s="277"/>
      <c r="Z357" s="278"/>
    </row>
    <row r="358" ht="15.75" customHeight="1">
      <c r="D358" s="158"/>
      <c r="G358" s="158"/>
      <c r="K358" s="276"/>
      <c r="N358" s="276"/>
      <c r="T358" s="277"/>
      <c r="Z358" s="278"/>
    </row>
    <row r="359" ht="15.75" customHeight="1">
      <c r="D359" s="158"/>
      <c r="G359" s="158"/>
      <c r="K359" s="276"/>
      <c r="N359" s="276"/>
      <c r="T359" s="277"/>
      <c r="Z359" s="278"/>
    </row>
    <row r="360" ht="15.75" customHeight="1">
      <c r="D360" s="158"/>
      <c r="G360" s="158"/>
      <c r="K360" s="276"/>
      <c r="N360" s="276"/>
      <c r="T360" s="277"/>
      <c r="Z360" s="278"/>
    </row>
    <row r="361" ht="15.75" customHeight="1">
      <c r="D361" s="158"/>
      <c r="G361" s="158"/>
      <c r="K361" s="276"/>
      <c r="N361" s="276"/>
      <c r="T361" s="277"/>
      <c r="Z361" s="278"/>
    </row>
    <row r="362" ht="15.75" customHeight="1">
      <c r="D362" s="158"/>
      <c r="G362" s="158"/>
      <c r="K362" s="276"/>
      <c r="N362" s="276"/>
      <c r="T362" s="277"/>
      <c r="Z362" s="278"/>
    </row>
    <row r="363" ht="15.75" customHeight="1">
      <c r="D363" s="158"/>
      <c r="G363" s="158"/>
      <c r="K363" s="276"/>
      <c r="N363" s="276"/>
      <c r="T363" s="277"/>
      <c r="Z363" s="278"/>
    </row>
    <row r="364" ht="15.75" customHeight="1">
      <c r="D364" s="158"/>
      <c r="G364" s="158"/>
      <c r="K364" s="276"/>
      <c r="N364" s="276"/>
      <c r="T364" s="277"/>
      <c r="Z364" s="278"/>
    </row>
    <row r="365" ht="15.75" customHeight="1">
      <c r="D365" s="158"/>
      <c r="G365" s="158"/>
      <c r="K365" s="276"/>
      <c r="N365" s="276"/>
      <c r="T365" s="277"/>
      <c r="Z365" s="278"/>
    </row>
    <row r="366" ht="15.75" customHeight="1">
      <c r="D366" s="158"/>
      <c r="G366" s="158"/>
      <c r="K366" s="276"/>
      <c r="N366" s="276"/>
      <c r="T366" s="277"/>
      <c r="Z366" s="278"/>
    </row>
    <row r="367" ht="15.75" customHeight="1">
      <c r="D367" s="158"/>
      <c r="G367" s="158"/>
      <c r="K367" s="276"/>
      <c r="N367" s="276"/>
      <c r="T367" s="277"/>
      <c r="Z367" s="278"/>
    </row>
    <row r="368" ht="15.75" customHeight="1">
      <c r="D368" s="158"/>
      <c r="G368" s="158"/>
      <c r="K368" s="276"/>
      <c r="N368" s="276"/>
      <c r="T368" s="277"/>
      <c r="Z368" s="278"/>
    </row>
    <row r="369" ht="15.75" customHeight="1">
      <c r="D369" s="158"/>
      <c r="G369" s="158"/>
      <c r="K369" s="276"/>
      <c r="N369" s="276"/>
      <c r="T369" s="277"/>
      <c r="Z369" s="278"/>
    </row>
    <row r="370" ht="15.75" customHeight="1">
      <c r="D370" s="158"/>
      <c r="G370" s="158"/>
      <c r="K370" s="276"/>
      <c r="N370" s="276"/>
      <c r="T370" s="277"/>
      <c r="Z370" s="278"/>
    </row>
    <row r="371" ht="15.75" customHeight="1">
      <c r="D371" s="158"/>
      <c r="G371" s="158"/>
      <c r="K371" s="276"/>
      <c r="N371" s="276"/>
      <c r="T371" s="277"/>
      <c r="Z371" s="278"/>
    </row>
    <row r="372" ht="15.75" customHeight="1">
      <c r="D372" s="158"/>
      <c r="G372" s="158"/>
      <c r="K372" s="276"/>
      <c r="N372" s="276"/>
      <c r="T372" s="277"/>
      <c r="Z372" s="278"/>
    </row>
    <row r="373" ht="15.75" customHeight="1">
      <c r="D373" s="158"/>
      <c r="G373" s="158"/>
      <c r="K373" s="276"/>
      <c r="N373" s="276"/>
      <c r="T373" s="277"/>
      <c r="Z373" s="278"/>
    </row>
    <row r="374" ht="15.75" customHeight="1">
      <c r="D374" s="158"/>
      <c r="G374" s="158"/>
      <c r="K374" s="276"/>
      <c r="N374" s="276"/>
      <c r="T374" s="277"/>
      <c r="Z374" s="278"/>
    </row>
    <row r="375" ht="15.75" customHeight="1">
      <c r="D375" s="158"/>
      <c r="G375" s="158"/>
      <c r="K375" s="276"/>
      <c r="N375" s="276"/>
      <c r="T375" s="277"/>
      <c r="Z375" s="278"/>
    </row>
    <row r="376" ht="15.75" customHeight="1">
      <c r="D376" s="158"/>
      <c r="G376" s="158"/>
      <c r="K376" s="276"/>
      <c r="N376" s="276"/>
      <c r="T376" s="277"/>
      <c r="Z376" s="278"/>
    </row>
    <row r="377" ht="15.75" customHeight="1">
      <c r="D377" s="158"/>
      <c r="G377" s="158"/>
      <c r="K377" s="276"/>
      <c r="N377" s="276"/>
      <c r="T377" s="277"/>
      <c r="Z377" s="278"/>
    </row>
    <row r="378" ht="15.75" customHeight="1">
      <c r="D378" s="158"/>
      <c r="G378" s="158"/>
      <c r="K378" s="276"/>
      <c r="N378" s="276"/>
      <c r="T378" s="277"/>
      <c r="Z378" s="278"/>
    </row>
    <row r="379" ht="15.75" customHeight="1">
      <c r="D379" s="158"/>
      <c r="G379" s="158"/>
      <c r="K379" s="276"/>
      <c r="N379" s="276"/>
      <c r="T379" s="277"/>
      <c r="Z379" s="278"/>
    </row>
    <row r="380" ht="15.75" customHeight="1">
      <c r="D380" s="158"/>
      <c r="G380" s="158"/>
      <c r="K380" s="276"/>
      <c r="N380" s="276"/>
      <c r="T380" s="277"/>
      <c r="Z380" s="278"/>
    </row>
    <row r="381" ht="15.75" customHeight="1">
      <c r="D381" s="158"/>
      <c r="G381" s="158"/>
      <c r="K381" s="276"/>
      <c r="N381" s="276"/>
      <c r="T381" s="277"/>
      <c r="Z381" s="278"/>
    </row>
    <row r="382" ht="15.75" customHeight="1">
      <c r="D382" s="158"/>
      <c r="G382" s="158"/>
      <c r="K382" s="276"/>
      <c r="N382" s="276"/>
      <c r="T382" s="277"/>
      <c r="Z382" s="278"/>
    </row>
    <row r="383" ht="15.75" customHeight="1">
      <c r="D383" s="158"/>
      <c r="G383" s="158"/>
      <c r="K383" s="276"/>
      <c r="N383" s="276"/>
      <c r="T383" s="277"/>
      <c r="Z383" s="278"/>
    </row>
    <row r="384" ht="15.75" customHeight="1">
      <c r="D384" s="158"/>
      <c r="G384" s="158"/>
      <c r="K384" s="276"/>
      <c r="N384" s="276"/>
      <c r="T384" s="277"/>
      <c r="Z384" s="278"/>
    </row>
    <row r="385" ht="15.75" customHeight="1">
      <c r="D385" s="158"/>
      <c r="G385" s="158"/>
      <c r="K385" s="276"/>
      <c r="N385" s="276"/>
      <c r="T385" s="277"/>
      <c r="Z385" s="278"/>
    </row>
    <row r="386" ht="15.75" customHeight="1">
      <c r="D386" s="158"/>
      <c r="G386" s="158"/>
      <c r="K386" s="276"/>
      <c r="N386" s="276"/>
      <c r="T386" s="277"/>
      <c r="Z386" s="278"/>
    </row>
    <row r="387" ht="15.75" customHeight="1">
      <c r="D387" s="158"/>
      <c r="G387" s="158"/>
      <c r="K387" s="276"/>
      <c r="N387" s="276"/>
      <c r="T387" s="277"/>
      <c r="Z387" s="278"/>
    </row>
    <row r="388" ht="15.75" customHeight="1">
      <c r="D388" s="158"/>
      <c r="G388" s="158"/>
      <c r="K388" s="276"/>
      <c r="N388" s="276"/>
      <c r="T388" s="277"/>
      <c r="Z388" s="278"/>
    </row>
    <row r="389" ht="15.75" customHeight="1">
      <c r="D389" s="158"/>
      <c r="G389" s="158"/>
      <c r="K389" s="276"/>
      <c r="N389" s="276"/>
      <c r="T389" s="277"/>
      <c r="Z389" s="278"/>
    </row>
    <row r="390" ht="15.75" customHeight="1">
      <c r="D390" s="158"/>
      <c r="G390" s="158"/>
      <c r="K390" s="276"/>
      <c r="N390" s="276"/>
      <c r="T390" s="277"/>
      <c r="Z390" s="278"/>
    </row>
    <row r="391" ht="15.75" customHeight="1">
      <c r="D391" s="158"/>
      <c r="G391" s="158"/>
      <c r="K391" s="276"/>
      <c r="N391" s="276"/>
      <c r="T391" s="277"/>
      <c r="Z391" s="278"/>
    </row>
    <row r="392" ht="15.75" customHeight="1">
      <c r="D392" s="158"/>
      <c r="G392" s="158"/>
      <c r="K392" s="276"/>
      <c r="N392" s="276"/>
      <c r="T392" s="277"/>
      <c r="Z392" s="278"/>
    </row>
    <row r="393" ht="15.75" customHeight="1">
      <c r="D393" s="158"/>
      <c r="G393" s="158"/>
      <c r="K393" s="276"/>
      <c r="N393" s="276"/>
      <c r="T393" s="277"/>
      <c r="Z393" s="278"/>
    </row>
    <row r="394" ht="15.75" customHeight="1">
      <c r="D394" s="158"/>
      <c r="G394" s="158"/>
      <c r="K394" s="276"/>
      <c r="N394" s="276"/>
      <c r="T394" s="277"/>
      <c r="Z394" s="278"/>
    </row>
    <row r="395" ht="15.75" customHeight="1">
      <c r="D395" s="158"/>
      <c r="G395" s="158"/>
      <c r="K395" s="276"/>
      <c r="N395" s="276"/>
      <c r="T395" s="277"/>
      <c r="Z395" s="278"/>
    </row>
    <row r="396" ht="15.75" customHeight="1">
      <c r="D396" s="158"/>
      <c r="G396" s="158"/>
      <c r="K396" s="276"/>
      <c r="N396" s="276"/>
      <c r="T396" s="277"/>
      <c r="Z396" s="278"/>
    </row>
    <row r="397" ht="15.75" customHeight="1">
      <c r="D397" s="158"/>
      <c r="G397" s="158"/>
      <c r="K397" s="276"/>
      <c r="N397" s="276"/>
      <c r="T397" s="277"/>
      <c r="Z397" s="278"/>
    </row>
    <row r="398" ht="15.75" customHeight="1">
      <c r="D398" s="158"/>
      <c r="G398" s="158"/>
      <c r="K398" s="276"/>
      <c r="N398" s="276"/>
      <c r="T398" s="277"/>
      <c r="Z398" s="278"/>
    </row>
    <row r="399" ht="15.75" customHeight="1">
      <c r="D399" s="158"/>
      <c r="G399" s="158"/>
      <c r="K399" s="276"/>
      <c r="N399" s="276"/>
      <c r="T399" s="277"/>
      <c r="Z399" s="278"/>
    </row>
    <row r="400" ht="15.75" customHeight="1">
      <c r="D400" s="158"/>
      <c r="G400" s="158"/>
      <c r="K400" s="276"/>
      <c r="N400" s="276"/>
      <c r="T400" s="277"/>
      <c r="Z400" s="278"/>
    </row>
    <row r="401" ht="15.75" customHeight="1">
      <c r="D401" s="158"/>
      <c r="G401" s="158"/>
      <c r="K401" s="276"/>
      <c r="N401" s="276"/>
      <c r="T401" s="277"/>
      <c r="Z401" s="278"/>
    </row>
    <row r="402" ht="15.75" customHeight="1">
      <c r="D402" s="158"/>
      <c r="G402" s="158"/>
      <c r="K402" s="276"/>
      <c r="N402" s="276"/>
      <c r="T402" s="277"/>
      <c r="Z402" s="278"/>
    </row>
    <row r="403" ht="15.75" customHeight="1">
      <c r="D403" s="158"/>
      <c r="G403" s="158"/>
      <c r="K403" s="276"/>
      <c r="N403" s="276"/>
      <c r="T403" s="277"/>
      <c r="Z403" s="278"/>
    </row>
    <row r="404" ht="15.75" customHeight="1">
      <c r="D404" s="158"/>
      <c r="G404" s="158"/>
      <c r="K404" s="276"/>
      <c r="N404" s="276"/>
      <c r="T404" s="277"/>
      <c r="Z404" s="278"/>
    </row>
    <row r="405" ht="15.75" customHeight="1">
      <c r="D405" s="158"/>
      <c r="G405" s="158"/>
      <c r="K405" s="276"/>
      <c r="N405" s="276"/>
      <c r="T405" s="277"/>
      <c r="Z405" s="278"/>
    </row>
    <row r="406" ht="15.75" customHeight="1">
      <c r="D406" s="158"/>
      <c r="G406" s="158"/>
      <c r="K406" s="276"/>
      <c r="N406" s="276"/>
      <c r="T406" s="277"/>
      <c r="Z406" s="278"/>
    </row>
    <row r="407" ht="15.75" customHeight="1">
      <c r="D407" s="158"/>
      <c r="G407" s="158"/>
      <c r="K407" s="276"/>
      <c r="N407" s="276"/>
      <c r="T407" s="277"/>
      <c r="Z407" s="278"/>
    </row>
    <row r="408" ht="15.75" customHeight="1">
      <c r="D408" s="158"/>
      <c r="G408" s="158"/>
      <c r="K408" s="276"/>
      <c r="N408" s="276"/>
      <c r="T408" s="277"/>
      <c r="Z408" s="278"/>
    </row>
    <row r="409" ht="15.75" customHeight="1">
      <c r="D409" s="158"/>
      <c r="G409" s="158"/>
      <c r="K409" s="276"/>
      <c r="N409" s="276"/>
      <c r="T409" s="277"/>
      <c r="Z409" s="278"/>
    </row>
    <row r="410" ht="15.75" customHeight="1">
      <c r="D410" s="158"/>
      <c r="G410" s="158"/>
      <c r="K410" s="276"/>
      <c r="N410" s="276"/>
      <c r="T410" s="277"/>
      <c r="Z410" s="278"/>
    </row>
    <row r="411" ht="15.75" customHeight="1">
      <c r="D411" s="158"/>
      <c r="G411" s="158"/>
      <c r="K411" s="276"/>
      <c r="N411" s="276"/>
      <c r="T411" s="277"/>
      <c r="Z411" s="278"/>
    </row>
    <row r="412" ht="15.75" customHeight="1">
      <c r="D412" s="158"/>
      <c r="G412" s="158"/>
      <c r="K412" s="276"/>
      <c r="N412" s="276"/>
      <c r="T412" s="277"/>
      <c r="Z412" s="278"/>
    </row>
    <row r="413" ht="15.75" customHeight="1">
      <c r="D413" s="158"/>
      <c r="G413" s="158"/>
      <c r="K413" s="276"/>
      <c r="N413" s="276"/>
      <c r="T413" s="277"/>
      <c r="Z413" s="278"/>
    </row>
    <row r="414" ht="15.75" customHeight="1">
      <c r="D414" s="158"/>
      <c r="G414" s="158"/>
      <c r="K414" s="276"/>
      <c r="N414" s="276"/>
      <c r="T414" s="277"/>
      <c r="Z414" s="278"/>
    </row>
    <row r="415" ht="15.75" customHeight="1">
      <c r="D415" s="158"/>
      <c r="G415" s="158"/>
      <c r="K415" s="276"/>
      <c r="N415" s="276"/>
      <c r="T415" s="277"/>
      <c r="Z415" s="278"/>
    </row>
    <row r="416" ht="15.75" customHeight="1">
      <c r="D416" s="158"/>
      <c r="G416" s="158"/>
      <c r="K416" s="276"/>
      <c r="N416" s="276"/>
      <c r="T416" s="277"/>
      <c r="Z416" s="278"/>
    </row>
    <row r="417" ht="15.75" customHeight="1">
      <c r="D417" s="158"/>
      <c r="G417" s="158"/>
      <c r="K417" s="276"/>
      <c r="N417" s="276"/>
      <c r="T417" s="277"/>
      <c r="Z417" s="278"/>
    </row>
    <row r="418" ht="15.75" customHeight="1">
      <c r="D418" s="158"/>
      <c r="G418" s="158"/>
      <c r="K418" s="276"/>
      <c r="N418" s="276"/>
      <c r="T418" s="277"/>
      <c r="Z418" s="278"/>
    </row>
    <row r="419" ht="15.75" customHeight="1">
      <c r="D419" s="158"/>
      <c r="G419" s="158"/>
      <c r="K419" s="276"/>
      <c r="N419" s="276"/>
      <c r="T419" s="277"/>
      <c r="Z419" s="278"/>
    </row>
    <row r="420" ht="15.75" customHeight="1">
      <c r="D420" s="158"/>
      <c r="G420" s="158"/>
      <c r="K420" s="276"/>
      <c r="N420" s="276"/>
      <c r="T420" s="277"/>
      <c r="Z420" s="278"/>
    </row>
    <row r="421" ht="15.75" customHeight="1">
      <c r="D421" s="158"/>
      <c r="G421" s="158"/>
      <c r="K421" s="276"/>
      <c r="N421" s="276"/>
      <c r="T421" s="277"/>
      <c r="Z421" s="278"/>
    </row>
    <row r="422" ht="15.75" customHeight="1">
      <c r="D422" s="158"/>
      <c r="G422" s="158"/>
      <c r="K422" s="276"/>
      <c r="N422" s="276"/>
      <c r="T422" s="277"/>
      <c r="Z422" s="278"/>
    </row>
    <row r="423" ht="15.75" customHeight="1">
      <c r="D423" s="158"/>
      <c r="G423" s="158"/>
      <c r="K423" s="276"/>
      <c r="N423" s="276"/>
      <c r="T423" s="277"/>
      <c r="Z423" s="278"/>
    </row>
    <row r="424" ht="15.75" customHeight="1">
      <c r="D424" s="158"/>
      <c r="G424" s="158"/>
      <c r="K424" s="276"/>
      <c r="N424" s="276"/>
      <c r="T424" s="277"/>
      <c r="Z424" s="278"/>
    </row>
    <row r="425" ht="15.75" customHeight="1">
      <c r="D425" s="158"/>
      <c r="G425" s="158"/>
      <c r="K425" s="276"/>
      <c r="N425" s="276"/>
      <c r="T425" s="277"/>
      <c r="Z425" s="278"/>
    </row>
    <row r="426" ht="15.75" customHeight="1">
      <c r="D426" s="158"/>
      <c r="G426" s="158"/>
      <c r="K426" s="276"/>
      <c r="N426" s="276"/>
      <c r="T426" s="277"/>
      <c r="Z426" s="278"/>
    </row>
    <row r="427" ht="15.75" customHeight="1">
      <c r="D427" s="158"/>
      <c r="G427" s="158"/>
      <c r="K427" s="276"/>
      <c r="N427" s="276"/>
      <c r="T427" s="277"/>
      <c r="Z427" s="278"/>
    </row>
    <row r="428" ht="15.75" customHeight="1">
      <c r="D428" s="158"/>
      <c r="G428" s="158"/>
      <c r="K428" s="276"/>
      <c r="N428" s="276"/>
      <c r="T428" s="277"/>
      <c r="Z428" s="278"/>
    </row>
    <row r="429" ht="15.75" customHeight="1">
      <c r="D429" s="158"/>
      <c r="G429" s="158"/>
      <c r="K429" s="276"/>
      <c r="N429" s="276"/>
      <c r="T429" s="277"/>
      <c r="Z429" s="278"/>
    </row>
    <row r="430" ht="15.75" customHeight="1">
      <c r="D430" s="158"/>
      <c r="G430" s="158"/>
      <c r="K430" s="276"/>
      <c r="N430" s="276"/>
      <c r="T430" s="277"/>
      <c r="Z430" s="278"/>
    </row>
    <row r="431" ht="15.75" customHeight="1">
      <c r="D431" s="158"/>
      <c r="G431" s="158"/>
      <c r="K431" s="276"/>
      <c r="N431" s="276"/>
      <c r="T431" s="277"/>
      <c r="Z431" s="278"/>
    </row>
    <row r="432" ht="15.75" customHeight="1">
      <c r="D432" s="158"/>
      <c r="G432" s="158"/>
      <c r="K432" s="276"/>
      <c r="N432" s="276"/>
      <c r="T432" s="277"/>
      <c r="Z432" s="278"/>
    </row>
    <row r="433" ht="15.75" customHeight="1">
      <c r="D433" s="158"/>
      <c r="G433" s="158"/>
      <c r="K433" s="276"/>
      <c r="N433" s="276"/>
      <c r="T433" s="277"/>
      <c r="Z433" s="278"/>
    </row>
    <row r="434" ht="15.75" customHeight="1">
      <c r="D434" s="158"/>
      <c r="G434" s="158"/>
      <c r="K434" s="276"/>
      <c r="N434" s="276"/>
      <c r="T434" s="277"/>
      <c r="Z434" s="278"/>
    </row>
    <row r="435" ht="15.75" customHeight="1">
      <c r="D435" s="158"/>
      <c r="G435" s="158"/>
      <c r="K435" s="276"/>
      <c r="N435" s="276"/>
      <c r="T435" s="277"/>
      <c r="Z435" s="278"/>
    </row>
    <row r="436" ht="15.75" customHeight="1">
      <c r="D436" s="158"/>
      <c r="G436" s="158"/>
      <c r="K436" s="276"/>
      <c r="N436" s="276"/>
      <c r="T436" s="277"/>
      <c r="Z436" s="278"/>
    </row>
    <row r="437" ht="15.75" customHeight="1">
      <c r="D437" s="158"/>
      <c r="G437" s="158"/>
      <c r="K437" s="276"/>
      <c r="N437" s="276"/>
      <c r="T437" s="277"/>
      <c r="Z437" s="278"/>
    </row>
    <row r="438" ht="15.75" customHeight="1">
      <c r="D438" s="158"/>
      <c r="G438" s="158"/>
      <c r="K438" s="276"/>
      <c r="N438" s="276"/>
      <c r="T438" s="277"/>
      <c r="Z438" s="278"/>
    </row>
    <row r="439" ht="15.75" customHeight="1">
      <c r="D439" s="158"/>
      <c r="G439" s="158"/>
      <c r="K439" s="276"/>
      <c r="N439" s="276"/>
      <c r="T439" s="277"/>
      <c r="Z439" s="278"/>
    </row>
    <row r="440" ht="15.75" customHeight="1">
      <c r="D440" s="158"/>
      <c r="G440" s="158"/>
      <c r="K440" s="276"/>
      <c r="N440" s="276"/>
      <c r="T440" s="277"/>
      <c r="Z440" s="278"/>
    </row>
    <row r="441" ht="15.75" customHeight="1">
      <c r="D441" s="158"/>
      <c r="G441" s="158"/>
      <c r="K441" s="276"/>
      <c r="N441" s="276"/>
      <c r="T441" s="277"/>
      <c r="Z441" s="278"/>
    </row>
    <row r="442" ht="15.75" customHeight="1">
      <c r="D442" s="158"/>
      <c r="G442" s="158"/>
      <c r="K442" s="276"/>
      <c r="N442" s="276"/>
      <c r="T442" s="277"/>
      <c r="Z442" s="278"/>
    </row>
    <row r="443" ht="15.75" customHeight="1">
      <c r="D443" s="158"/>
      <c r="G443" s="158"/>
      <c r="K443" s="276"/>
      <c r="N443" s="276"/>
      <c r="T443" s="277"/>
      <c r="Z443" s="278"/>
    </row>
    <row r="444" ht="15.75" customHeight="1">
      <c r="D444" s="158"/>
      <c r="G444" s="158"/>
      <c r="K444" s="276"/>
      <c r="N444" s="276"/>
      <c r="T444" s="277"/>
      <c r="Z444" s="278"/>
    </row>
    <row r="445" ht="15.75" customHeight="1">
      <c r="D445" s="158"/>
      <c r="G445" s="158"/>
      <c r="K445" s="276"/>
      <c r="N445" s="276"/>
      <c r="T445" s="277"/>
      <c r="Z445" s="278"/>
    </row>
    <row r="446" ht="15.75" customHeight="1">
      <c r="D446" s="158"/>
      <c r="G446" s="158"/>
      <c r="K446" s="276"/>
      <c r="N446" s="276"/>
      <c r="T446" s="277"/>
      <c r="Z446" s="278"/>
    </row>
    <row r="447" ht="15.75" customHeight="1">
      <c r="D447" s="158"/>
      <c r="G447" s="158"/>
      <c r="K447" s="276"/>
      <c r="N447" s="276"/>
      <c r="T447" s="277"/>
      <c r="Z447" s="278"/>
    </row>
    <row r="448" ht="15.75" customHeight="1">
      <c r="D448" s="158"/>
      <c r="G448" s="158"/>
      <c r="K448" s="276"/>
      <c r="N448" s="276"/>
      <c r="T448" s="277"/>
      <c r="Z448" s="278"/>
    </row>
    <row r="449" ht="15.75" customHeight="1">
      <c r="D449" s="158"/>
      <c r="G449" s="158"/>
      <c r="K449" s="276"/>
      <c r="N449" s="276"/>
      <c r="T449" s="277"/>
      <c r="Z449" s="278"/>
    </row>
    <row r="450" ht="15.75" customHeight="1">
      <c r="D450" s="158"/>
      <c r="G450" s="158"/>
      <c r="K450" s="276"/>
      <c r="N450" s="276"/>
      <c r="T450" s="277"/>
      <c r="Z450" s="278"/>
    </row>
    <row r="451" ht="15.75" customHeight="1">
      <c r="D451" s="158"/>
      <c r="G451" s="158"/>
      <c r="K451" s="276"/>
      <c r="N451" s="276"/>
      <c r="T451" s="277"/>
      <c r="Z451" s="278"/>
    </row>
    <row r="452" ht="15.75" customHeight="1">
      <c r="D452" s="158"/>
      <c r="G452" s="158"/>
      <c r="K452" s="276"/>
      <c r="N452" s="276"/>
      <c r="T452" s="277"/>
      <c r="Z452" s="278"/>
    </row>
    <row r="453" ht="15.75" customHeight="1">
      <c r="D453" s="158"/>
      <c r="G453" s="158"/>
      <c r="K453" s="276"/>
      <c r="N453" s="276"/>
      <c r="T453" s="277"/>
      <c r="Z453" s="278"/>
    </row>
    <row r="454" ht="15.75" customHeight="1">
      <c r="D454" s="158"/>
      <c r="G454" s="158"/>
      <c r="K454" s="276"/>
      <c r="N454" s="276"/>
      <c r="T454" s="277"/>
      <c r="Z454" s="278"/>
    </row>
    <row r="455" ht="15.75" customHeight="1">
      <c r="D455" s="158"/>
      <c r="G455" s="158"/>
      <c r="K455" s="276"/>
      <c r="N455" s="276"/>
      <c r="T455" s="277"/>
      <c r="Z455" s="278"/>
    </row>
    <row r="456" ht="15.75" customHeight="1">
      <c r="D456" s="158"/>
      <c r="G456" s="158"/>
      <c r="K456" s="276"/>
      <c r="N456" s="276"/>
      <c r="T456" s="277"/>
      <c r="Z456" s="278"/>
    </row>
    <row r="457" ht="15.75" customHeight="1">
      <c r="D457" s="158"/>
      <c r="G457" s="158"/>
      <c r="K457" s="276"/>
      <c r="N457" s="276"/>
      <c r="T457" s="277"/>
      <c r="Z457" s="278"/>
    </row>
    <row r="458" ht="15.75" customHeight="1">
      <c r="D458" s="158"/>
      <c r="G458" s="158"/>
      <c r="K458" s="276"/>
      <c r="N458" s="276"/>
      <c r="T458" s="277"/>
      <c r="Z458" s="278"/>
    </row>
    <row r="459" ht="15.75" customHeight="1">
      <c r="D459" s="158"/>
      <c r="G459" s="158"/>
      <c r="K459" s="276"/>
      <c r="N459" s="276"/>
      <c r="T459" s="277"/>
      <c r="Z459" s="278"/>
    </row>
    <row r="460" ht="15.75" customHeight="1">
      <c r="D460" s="158"/>
      <c r="G460" s="158"/>
      <c r="K460" s="276"/>
      <c r="N460" s="276"/>
      <c r="T460" s="277"/>
      <c r="Z460" s="278"/>
    </row>
    <row r="461" ht="15.75" customHeight="1">
      <c r="D461" s="158"/>
      <c r="G461" s="158"/>
      <c r="K461" s="276"/>
      <c r="N461" s="276"/>
      <c r="T461" s="277"/>
      <c r="Z461" s="278"/>
    </row>
    <row r="462" ht="15.75" customHeight="1">
      <c r="D462" s="158"/>
      <c r="G462" s="158"/>
      <c r="K462" s="276"/>
      <c r="N462" s="276"/>
      <c r="T462" s="277"/>
      <c r="Z462" s="278"/>
    </row>
    <row r="463" ht="15.75" customHeight="1">
      <c r="D463" s="158"/>
      <c r="G463" s="158"/>
      <c r="K463" s="276"/>
      <c r="N463" s="276"/>
      <c r="T463" s="277"/>
      <c r="Z463" s="278"/>
    </row>
    <row r="464" ht="15.75" customHeight="1">
      <c r="D464" s="158"/>
      <c r="G464" s="158"/>
      <c r="K464" s="276"/>
      <c r="N464" s="276"/>
      <c r="T464" s="277"/>
      <c r="Z464" s="278"/>
    </row>
    <row r="465" ht="15.75" customHeight="1">
      <c r="D465" s="158"/>
      <c r="G465" s="158"/>
      <c r="K465" s="276"/>
      <c r="N465" s="276"/>
      <c r="T465" s="277"/>
      <c r="Z465" s="278"/>
    </row>
    <row r="466" ht="15.75" customHeight="1">
      <c r="D466" s="158"/>
      <c r="G466" s="158"/>
      <c r="K466" s="276"/>
      <c r="N466" s="276"/>
      <c r="T466" s="277"/>
      <c r="Z466" s="278"/>
    </row>
    <row r="467" ht="15.75" customHeight="1">
      <c r="D467" s="158"/>
      <c r="G467" s="158"/>
      <c r="K467" s="276"/>
      <c r="N467" s="276"/>
      <c r="T467" s="277"/>
      <c r="Z467" s="278"/>
    </row>
    <row r="468" ht="15.75" customHeight="1">
      <c r="D468" s="158"/>
      <c r="G468" s="158"/>
      <c r="K468" s="276"/>
      <c r="N468" s="276"/>
      <c r="T468" s="277"/>
      <c r="Z468" s="278"/>
    </row>
    <row r="469" ht="15.75" customHeight="1">
      <c r="D469" s="158"/>
      <c r="G469" s="158"/>
      <c r="K469" s="276"/>
      <c r="N469" s="276"/>
      <c r="T469" s="277"/>
      <c r="Z469" s="278"/>
    </row>
    <row r="470" ht="15.75" customHeight="1">
      <c r="D470" s="158"/>
      <c r="G470" s="158"/>
      <c r="K470" s="276"/>
      <c r="N470" s="276"/>
      <c r="T470" s="277"/>
      <c r="Z470" s="278"/>
    </row>
    <row r="471" ht="15.75" customHeight="1">
      <c r="D471" s="158"/>
      <c r="G471" s="158"/>
      <c r="K471" s="276"/>
      <c r="N471" s="276"/>
      <c r="T471" s="277"/>
      <c r="Z471" s="278"/>
    </row>
    <row r="472" ht="15.75" customHeight="1">
      <c r="D472" s="158"/>
      <c r="G472" s="158"/>
      <c r="K472" s="276"/>
      <c r="N472" s="276"/>
      <c r="T472" s="277"/>
      <c r="Z472" s="278"/>
    </row>
    <row r="473" ht="15.75" customHeight="1">
      <c r="D473" s="158"/>
      <c r="G473" s="158"/>
      <c r="K473" s="276"/>
      <c r="N473" s="276"/>
      <c r="T473" s="277"/>
      <c r="Z473" s="278"/>
    </row>
    <row r="474" ht="15.75" customHeight="1">
      <c r="D474" s="158"/>
      <c r="G474" s="158"/>
      <c r="K474" s="276"/>
      <c r="N474" s="276"/>
      <c r="T474" s="277"/>
      <c r="Z474" s="278"/>
    </row>
    <row r="475" ht="15.75" customHeight="1">
      <c r="D475" s="158"/>
      <c r="G475" s="158"/>
      <c r="K475" s="276"/>
      <c r="N475" s="276"/>
      <c r="T475" s="277"/>
      <c r="Z475" s="278"/>
    </row>
    <row r="476" ht="15.75" customHeight="1">
      <c r="D476" s="158"/>
      <c r="G476" s="158"/>
      <c r="K476" s="276"/>
      <c r="N476" s="276"/>
      <c r="T476" s="277"/>
      <c r="Z476" s="278"/>
    </row>
    <row r="477" ht="15.75" customHeight="1">
      <c r="D477" s="158"/>
      <c r="G477" s="158"/>
      <c r="K477" s="276"/>
      <c r="N477" s="276"/>
      <c r="T477" s="277"/>
      <c r="Z477" s="278"/>
    </row>
    <row r="478" ht="15.75" customHeight="1">
      <c r="D478" s="158"/>
      <c r="G478" s="158"/>
      <c r="K478" s="276"/>
      <c r="N478" s="276"/>
      <c r="T478" s="277"/>
      <c r="Z478" s="278"/>
    </row>
    <row r="479" ht="15.75" customHeight="1">
      <c r="D479" s="158"/>
      <c r="G479" s="158"/>
      <c r="K479" s="276"/>
      <c r="N479" s="276"/>
      <c r="T479" s="277"/>
      <c r="Z479" s="278"/>
    </row>
    <row r="480" ht="15.75" customHeight="1">
      <c r="D480" s="158"/>
      <c r="G480" s="158"/>
      <c r="K480" s="276"/>
      <c r="N480" s="276"/>
      <c r="T480" s="277"/>
      <c r="Z480" s="278"/>
    </row>
    <row r="481" ht="15.75" customHeight="1">
      <c r="D481" s="158"/>
      <c r="G481" s="158"/>
      <c r="K481" s="276"/>
      <c r="N481" s="276"/>
      <c r="T481" s="277"/>
      <c r="Z481" s="278"/>
    </row>
    <row r="482" ht="15.75" customHeight="1">
      <c r="D482" s="158"/>
      <c r="G482" s="158"/>
      <c r="K482" s="276"/>
      <c r="N482" s="276"/>
      <c r="T482" s="277"/>
      <c r="Z482" s="278"/>
    </row>
    <row r="483" ht="15.75" customHeight="1">
      <c r="D483" s="158"/>
      <c r="G483" s="158"/>
      <c r="K483" s="276"/>
      <c r="N483" s="276"/>
      <c r="T483" s="277"/>
      <c r="Z483" s="278"/>
    </row>
    <row r="484" ht="15.75" customHeight="1">
      <c r="D484" s="158"/>
      <c r="G484" s="158"/>
      <c r="K484" s="276"/>
      <c r="N484" s="276"/>
      <c r="T484" s="277"/>
      <c r="Z484" s="278"/>
    </row>
    <row r="485" ht="15.75" customHeight="1">
      <c r="D485" s="158"/>
      <c r="G485" s="158"/>
      <c r="K485" s="276"/>
      <c r="N485" s="276"/>
      <c r="T485" s="277"/>
      <c r="Z485" s="278"/>
    </row>
    <row r="486" ht="15.75" customHeight="1">
      <c r="D486" s="158"/>
      <c r="G486" s="158"/>
      <c r="K486" s="276"/>
      <c r="N486" s="276"/>
      <c r="T486" s="277"/>
      <c r="Z486" s="278"/>
    </row>
    <row r="487" ht="15.75" customHeight="1">
      <c r="D487" s="158"/>
      <c r="G487" s="158"/>
      <c r="K487" s="276"/>
      <c r="N487" s="276"/>
      <c r="T487" s="277"/>
      <c r="Z487" s="278"/>
    </row>
    <row r="488" ht="15.75" customHeight="1">
      <c r="D488" s="158"/>
      <c r="G488" s="158"/>
      <c r="K488" s="276"/>
      <c r="N488" s="276"/>
      <c r="T488" s="277"/>
      <c r="Z488" s="278"/>
    </row>
    <row r="489" ht="15.75" customHeight="1">
      <c r="D489" s="158"/>
      <c r="G489" s="158"/>
      <c r="K489" s="276"/>
      <c r="N489" s="276"/>
      <c r="T489" s="277"/>
      <c r="Z489" s="278"/>
    </row>
    <row r="490" ht="15.75" customHeight="1">
      <c r="D490" s="158"/>
      <c r="G490" s="158"/>
      <c r="K490" s="276"/>
      <c r="N490" s="276"/>
      <c r="T490" s="277"/>
      <c r="Z490" s="278"/>
    </row>
    <row r="491" ht="15.75" customHeight="1">
      <c r="D491" s="158"/>
      <c r="G491" s="158"/>
      <c r="K491" s="276"/>
      <c r="N491" s="276"/>
      <c r="T491" s="277"/>
      <c r="Z491" s="278"/>
    </row>
    <row r="492" ht="15.75" customHeight="1">
      <c r="D492" s="158"/>
      <c r="G492" s="158"/>
      <c r="K492" s="276"/>
      <c r="N492" s="276"/>
      <c r="T492" s="277"/>
      <c r="Z492" s="278"/>
    </row>
    <row r="493" ht="15.75" customHeight="1">
      <c r="D493" s="158"/>
      <c r="G493" s="158"/>
      <c r="K493" s="276"/>
      <c r="N493" s="276"/>
      <c r="T493" s="277"/>
      <c r="Z493" s="278"/>
    </row>
    <row r="494" ht="15.75" customHeight="1">
      <c r="D494" s="158"/>
      <c r="G494" s="158"/>
      <c r="K494" s="276"/>
      <c r="N494" s="276"/>
      <c r="T494" s="277"/>
      <c r="Z494" s="278"/>
    </row>
    <row r="495" ht="15.75" customHeight="1">
      <c r="D495" s="158"/>
      <c r="G495" s="158"/>
      <c r="K495" s="276"/>
      <c r="N495" s="276"/>
      <c r="T495" s="277"/>
      <c r="Z495" s="278"/>
    </row>
    <row r="496" ht="15.75" customHeight="1">
      <c r="D496" s="158"/>
      <c r="G496" s="158"/>
      <c r="K496" s="276"/>
      <c r="N496" s="276"/>
      <c r="T496" s="277"/>
      <c r="Z496" s="278"/>
    </row>
    <row r="497" ht="15.75" customHeight="1">
      <c r="D497" s="158"/>
      <c r="G497" s="158"/>
      <c r="K497" s="276"/>
      <c r="N497" s="276"/>
      <c r="T497" s="277"/>
      <c r="Z497" s="278"/>
    </row>
    <row r="498" ht="15.75" customHeight="1">
      <c r="D498" s="158"/>
      <c r="G498" s="158"/>
      <c r="K498" s="276"/>
      <c r="N498" s="276"/>
      <c r="T498" s="277"/>
      <c r="Z498" s="278"/>
    </row>
    <row r="499" ht="15.75" customHeight="1">
      <c r="D499" s="158"/>
      <c r="G499" s="158"/>
      <c r="K499" s="276"/>
      <c r="N499" s="276"/>
      <c r="T499" s="277"/>
      <c r="Z499" s="278"/>
    </row>
    <row r="500" ht="15.75" customHeight="1">
      <c r="D500" s="158"/>
      <c r="G500" s="158"/>
      <c r="K500" s="276"/>
      <c r="N500" s="276"/>
      <c r="T500" s="277"/>
      <c r="Z500" s="278"/>
    </row>
    <row r="501" ht="15.75" customHeight="1">
      <c r="D501" s="158"/>
      <c r="G501" s="158"/>
      <c r="K501" s="276"/>
      <c r="N501" s="276"/>
      <c r="T501" s="277"/>
      <c r="Z501" s="278"/>
    </row>
    <row r="502" ht="15.75" customHeight="1">
      <c r="D502" s="158"/>
      <c r="G502" s="158"/>
      <c r="K502" s="276"/>
      <c r="N502" s="276"/>
      <c r="T502" s="277"/>
      <c r="Z502" s="278"/>
    </row>
    <row r="503" ht="15.75" customHeight="1">
      <c r="D503" s="158"/>
      <c r="G503" s="158"/>
      <c r="K503" s="276"/>
      <c r="N503" s="276"/>
      <c r="T503" s="277"/>
      <c r="Z503" s="278"/>
    </row>
    <row r="504" ht="15.75" customHeight="1">
      <c r="D504" s="158"/>
      <c r="G504" s="158"/>
      <c r="K504" s="276"/>
      <c r="N504" s="276"/>
      <c r="T504" s="277"/>
      <c r="Z504" s="278"/>
    </row>
    <row r="505" ht="15.75" customHeight="1">
      <c r="D505" s="158"/>
      <c r="G505" s="158"/>
      <c r="K505" s="276"/>
      <c r="N505" s="276"/>
      <c r="T505" s="277"/>
      <c r="Z505" s="278"/>
    </row>
    <row r="506" ht="15.75" customHeight="1">
      <c r="D506" s="158"/>
      <c r="G506" s="158"/>
      <c r="K506" s="276"/>
      <c r="N506" s="276"/>
      <c r="T506" s="277"/>
      <c r="Z506" s="278"/>
    </row>
    <row r="507" ht="15.75" customHeight="1">
      <c r="D507" s="158"/>
      <c r="G507" s="158"/>
      <c r="K507" s="276"/>
      <c r="N507" s="276"/>
      <c r="T507" s="277"/>
      <c r="Z507" s="278"/>
    </row>
    <row r="508" ht="15.75" customHeight="1">
      <c r="D508" s="158"/>
      <c r="G508" s="158"/>
      <c r="K508" s="276"/>
      <c r="N508" s="276"/>
      <c r="T508" s="277"/>
      <c r="Z508" s="278"/>
    </row>
    <row r="509" ht="15.75" customHeight="1">
      <c r="D509" s="158"/>
      <c r="G509" s="158"/>
      <c r="K509" s="276"/>
      <c r="N509" s="276"/>
      <c r="T509" s="277"/>
      <c r="Z509" s="278"/>
    </row>
    <row r="510" ht="15.75" customHeight="1">
      <c r="D510" s="158"/>
      <c r="G510" s="158"/>
      <c r="K510" s="276"/>
      <c r="N510" s="276"/>
      <c r="T510" s="277"/>
      <c r="Z510" s="278"/>
    </row>
    <row r="511" ht="15.75" customHeight="1">
      <c r="D511" s="158"/>
      <c r="G511" s="158"/>
      <c r="K511" s="276"/>
      <c r="N511" s="276"/>
      <c r="T511" s="277"/>
      <c r="Z511" s="278"/>
    </row>
    <row r="512" ht="15.75" customHeight="1">
      <c r="D512" s="158"/>
      <c r="G512" s="158"/>
      <c r="K512" s="276"/>
      <c r="N512" s="276"/>
      <c r="T512" s="277"/>
      <c r="Z512" s="278"/>
    </row>
    <row r="513" ht="15.75" customHeight="1">
      <c r="D513" s="158"/>
      <c r="G513" s="158"/>
      <c r="K513" s="276"/>
      <c r="N513" s="276"/>
      <c r="T513" s="277"/>
      <c r="Z513" s="278"/>
    </row>
    <row r="514" ht="15.75" customHeight="1">
      <c r="D514" s="158"/>
      <c r="G514" s="158"/>
      <c r="K514" s="276"/>
      <c r="N514" s="276"/>
      <c r="T514" s="277"/>
      <c r="Z514" s="278"/>
    </row>
    <row r="515" ht="15.75" customHeight="1">
      <c r="D515" s="158"/>
      <c r="G515" s="158"/>
      <c r="K515" s="276"/>
      <c r="N515" s="276"/>
      <c r="T515" s="277"/>
      <c r="Z515" s="278"/>
    </row>
    <row r="516" ht="15.75" customHeight="1">
      <c r="D516" s="158"/>
      <c r="G516" s="158"/>
      <c r="K516" s="276"/>
      <c r="N516" s="276"/>
      <c r="T516" s="277"/>
      <c r="Z516" s="278"/>
    </row>
    <row r="517" ht="15.75" customHeight="1">
      <c r="D517" s="158"/>
      <c r="G517" s="158"/>
      <c r="K517" s="276"/>
      <c r="N517" s="276"/>
      <c r="T517" s="277"/>
      <c r="Z517" s="278"/>
    </row>
    <row r="518" ht="15.75" customHeight="1">
      <c r="D518" s="158"/>
      <c r="G518" s="158"/>
      <c r="K518" s="276"/>
      <c r="N518" s="276"/>
      <c r="T518" s="277"/>
      <c r="Z518" s="278"/>
    </row>
    <row r="519" ht="15.75" customHeight="1">
      <c r="D519" s="158"/>
      <c r="G519" s="158"/>
      <c r="K519" s="276"/>
      <c r="N519" s="276"/>
      <c r="T519" s="277"/>
      <c r="Z519" s="278"/>
    </row>
    <row r="520" ht="15.75" customHeight="1">
      <c r="D520" s="158"/>
      <c r="G520" s="158"/>
      <c r="K520" s="276"/>
      <c r="N520" s="276"/>
      <c r="T520" s="277"/>
      <c r="Z520" s="278"/>
    </row>
    <row r="521" ht="15.75" customHeight="1">
      <c r="D521" s="158"/>
      <c r="G521" s="158"/>
      <c r="K521" s="276"/>
      <c r="N521" s="276"/>
      <c r="T521" s="277"/>
      <c r="Z521" s="278"/>
    </row>
    <row r="522" ht="15.75" customHeight="1">
      <c r="D522" s="158"/>
      <c r="G522" s="158"/>
      <c r="K522" s="276"/>
      <c r="N522" s="276"/>
      <c r="T522" s="277"/>
      <c r="Z522" s="278"/>
    </row>
    <row r="523" ht="15.75" customHeight="1">
      <c r="D523" s="158"/>
      <c r="G523" s="158"/>
      <c r="K523" s="276"/>
      <c r="N523" s="276"/>
      <c r="T523" s="277"/>
      <c r="Z523" s="278"/>
    </row>
    <row r="524" ht="15.75" customHeight="1">
      <c r="D524" s="158"/>
      <c r="G524" s="158"/>
      <c r="K524" s="276"/>
      <c r="N524" s="276"/>
      <c r="T524" s="277"/>
      <c r="Z524" s="278"/>
    </row>
    <row r="525" ht="15.75" customHeight="1">
      <c r="D525" s="158"/>
      <c r="G525" s="158"/>
      <c r="K525" s="276"/>
      <c r="N525" s="276"/>
      <c r="T525" s="277"/>
      <c r="Z525" s="278"/>
    </row>
    <row r="526" ht="15.75" customHeight="1">
      <c r="D526" s="158"/>
      <c r="G526" s="158"/>
      <c r="K526" s="276"/>
      <c r="N526" s="276"/>
      <c r="T526" s="277"/>
      <c r="Z526" s="278"/>
    </row>
    <row r="527" ht="15.75" customHeight="1">
      <c r="D527" s="158"/>
      <c r="G527" s="158"/>
      <c r="K527" s="276"/>
      <c r="N527" s="276"/>
      <c r="T527" s="277"/>
      <c r="Z527" s="278"/>
    </row>
    <row r="528" ht="15.75" customHeight="1">
      <c r="D528" s="158"/>
      <c r="G528" s="158"/>
      <c r="K528" s="276"/>
      <c r="N528" s="276"/>
      <c r="T528" s="277"/>
      <c r="Z528" s="278"/>
    </row>
    <row r="529" ht="15.75" customHeight="1">
      <c r="D529" s="158"/>
      <c r="G529" s="158"/>
      <c r="K529" s="276"/>
      <c r="N529" s="276"/>
      <c r="T529" s="277"/>
      <c r="Z529" s="278"/>
    </row>
    <row r="530" ht="15.75" customHeight="1">
      <c r="D530" s="158"/>
      <c r="G530" s="158"/>
      <c r="K530" s="276"/>
      <c r="N530" s="276"/>
      <c r="T530" s="277"/>
      <c r="Z530" s="278"/>
    </row>
    <row r="531" ht="15.75" customHeight="1">
      <c r="D531" s="158"/>
      <c r="G531" s="158"/>
      <c r="K531" s="276"/>
      <c r="N531" s="276"/>
      <c r="T531" s="277"/>
      <c r="Z531" s="278"/>
    </row>
    <row r="532" ht="15.75" customHeight="1">
      <c r="D532" s="158"/>
      <c r="G532" s="158"/>
      <c r="K532" s="276"/>
      <c r="N532" s="276"/>
      <c r="T532" s="277"/>
      <c r="Z532" s="278"/>
    </row>
    <row r="533" ht="15.75" customHeight="1">
      <c r="D533" s="158"/>
      <c r="G533" s="158"/>
      <c r="K533" s="276"/>
      <c r="N533" s="276"/>
      <c r="T533" s="277"/>
      <c r="Z533" s="278"/>
    </row>
    <row r="534" ht="15.75" customHeight="1">
      <c r="D534" s="158"/>
      <c r="G534" s="158"/>
      <c r="K534" s="276"/>
      <c r="N534" s="276"/>
      <c r="T534" s="277"/>
      <c r="Z534" s="278"/>
    </row>
    <row r="535" ht="15.75" customHeight="1">
      <c r="D535" s="158"/>
      <c r="G535" s="158"/>
      <c r="K535" s="276"/>
      <c r="N535" s="276"/>
      <c r="T535" s="277"/>
      <c r="Z535" s="278"/>
    </row>
    <row r="536" ht="15.75" customHeight="1">
      <c r="D536" s="158"/>
      <c r="G536" s="158"/>
      <c r="K536" s="276"/>
      <c r="N536" s="276"/>
      <c r="T536" s="277"/>
      <c r="Z536" s="278"/>
    </row>
    <row r="537" ht="15.75" customHeight="1">
      <c r="D537" s="158"/>
      <c r="G537" s="158"/>
      <c r="K537" s="276"/>
      <c r="N537" s="276"/>
      <c r="T537" s="277"/>
      <c r="Z537" s="278"/>
    </row>
    <row r="538" ht="15.75" customHeight="1">
      <c r="D538" s="158"/>
      <c r="G538" s="158"/>
      <c r="K538" s="276"/>
      <c r="N538" s="276"/>
      <c r="T538" s="277"/>
      <c r="Z538" s="278"/>
    </row>
    <row r="539" ht="15.75" customHeight="1">
      <c r="D539" s="158"/>
      <c r="G539" s="158"/>
      <c r="K539" s="276"/>
      <c r="N539" s="276"/>
      <c r="T539" s="277"/>
      <c r="Z539" s="278"/>
    </row>
    <row r="540" ht="15.75" customHeight="1">
      <c r="D540" s="158"/>
      <c r="G540" s="158"/>
      <c r="K540" s="276"/>
      <c r="N540" s="276"/>
      <c r="T540" s="277"/>
      <c r="Z540" s="278"/>
    </row>
    <row r="541" ht="15.75" customHeight="1">
      <c r="D541" s="158"/>
      <c r="G541" s="158"/>
      <c r="K541" s="276"/>
      <c r="N541" s="276"/>
      <c r="T541" s="277"/>
      <c r="Z541" s="278"/>
    </row>
    <row r="542" ht="15.75" customHeight="1">
      <c r="D542" s="158"/>
      <c r="G542" s="158"/>
      <c r="K542" s="276"/>
      <c r="N542" s="276"/>
      <c r="T542" s="277"/>
      <c r="Z542" s="278"/>
    </row>
    <row r="543" ht="15.75" customHeight="1">
      <c r="D543" s="158"/>
      <c r="G543" s="158"/>
      <c r="K543" s="276"/>
      <c r="N543" s="276"/>
      <c r="T543" s="277"/>
      <c r="Z543" s="278"/>
    </row>
    <row r="544" ht="15.75" customHeight="1">
      <c r="D544" s="158"/>
      <c r="G544" s="158"/>
      <c r="K544" s="276"/>
      <c r="N544" s="276"/>
      <c r="T544" s="277"/>
      <c r="Z544" s="278"/>
    </row>
    <row r="545" ht="15.75" customHeight="1">
      <c r="D545" s="158"/>
      <c r="G545" s="158"/>
      <c r="K545" s="276"/>
      <c r="N545" s="276"/>
      <c r="T545" s="277"/>
      <c r="Z545" s="278"/>
    </row>
    <row r="546" ht="15.75" customHeight="1">
      <c r="D546" s="158"/>
      <c r="G546" s="158"/>
      <c r="K546" s="276"/>
      <c r="N546" s="276"/>
      <c r="T546" s="277"/>
      <c r="Z546" s="278"/>
    </row>
    <row r="547" ht="15.75" customHeight="1">
      <c r="D547" s="158"/>
      <c r="G547" s="158"/>
      <c r="K547" s="276"/>
      <c r="N547" s="276"/>
      <c r="T547" s="277"/>
      <c r="Z547" s="278"/>
    </row>
    <row r="548" ht="15.75" customHeight="1">
      <c r="D548" s="158"/>
      <c r="G548" s="158"/>
      <c r="K548" s="276"/>
      <c r="N548" s="276"/>
      <c r="T548" s="277"/>
      <c r="Z548" s="278"/>
    </row>
    <row r="549" ht="15.75" customHeight="1">
      <c r="D549" s="158"/>
      <c r="G549" s="158"/>
      <c r="K549" s="276"/>
      <c r="N549" s="276"/>
      <c r="T549" s="277"/>
      <c r="Z549" s="278"/>
    </row>
    <row r="550" ht="15.75" customHeight="1">
      <c r="D550" s="158"/>
      <c r="G550" s="158"/>
      <c r="K550" s="276"/>
      <c r="N550" s="276"/>
      <c r="T550" s="277"/>
      <c r="Z550" s="278"/>
    </row>
    <row r="551" ht="15.75" customHeight="1">
      <c r="D551" s="158"/>
      <c r="G551" s="158"/>
      <c r="K551" s="276"/>
      <c r="N551" s="276"/>
      <c r="T551" s="277"/>
      <c r="Z551" s="278"/>
    </row>
    <row r="552" ht="15.75" customHeight="1">
      <c r="D552" s="158"/>
      <c r="G552" s="158"/>
      <c r="K552" s="276"/>
      <c r="N552" s="276"/>
      <c r="T552" s="277"/>
      <c r="Z552" s="278"/>
    </row>
    <row r="553" ht="15.75" customHeight="1">
      <c r="D553" s="158"/>
      <c r="G553" s="158"/>
      <c r="K553" s="276"/>
      <c r="N553" s="276"/>
      <c r="T553" s="277"/>
      <c r="Z553" s="278"/>
    </row>
    <row r="554" ht="15.75" customHeight="1">
      <c r="D554" s="158"/>
      <c r="G554" s="158"/>
      <c r="K554" s="276"/>
      <c r="N554" s="276"/>
      <c r="T554" s="277"/>
      <c r="Z554" s="278"/>
    </row>
    <row r="555" ht="15.75" customHeight="1">
      <c r="D555" s="158"/>
      <c r="G555" s="158"/>
      <c r="K555" s="276"/>
      <c r="N555" s="276"/>
      <c r="T555" s="277"/>
      <c r="Z555" s="278"/>
    </row>
    <row r="556" ht="15.75" customHeight="1">
      <c r="D556" s="158"/>
      <c r="G556" s="158"/>
      <c r="K556" s="276"/>
      <c r="N556" s="276"/>
      <c r="T556" s="277"/>
      <c r="Z556" s="278"/>
    </row>
    <row r="557" ht="15.75" customHeight="1">
      <c r="D557" s="158"/>
      <c r="G557" s="158"/>
      <c r="K557" s="276"/>
      <c r="N557" s="276"/>
      <c r="T557" s="277"/>
      <c r="Z557" s="278"/>
    </row>
    <row r="558" ht="15.75" customHeight="1">
      <c r="D558" s="158"/>
      <c r="G558" s="158"/>
      <c r="K558" s="276"/>
      <c r="N558" s="276"/>
      <c r="T558" s="277"/>
      <c r="Z558" s="278"/>
    </row>
    <row r="559" ht="15.75" customHeight="1">
      <c r="D559" s="158"/>
      <c r="G559" s="158"/>
      <c r="K559" s="276"/>
      <c r="N559" s="276"/>
      <c r="T559" s="277"/>
      <c r="Z559" s="278"/>
    </row>
    <row r="560" ht="15.75" customHeight="1">
      <c r="D560" s="158"/>
      <c r="G560" s="158"/>
      <c r="K560" s="276"/>
      <c r="N560" s="276"/>
      <c r="T560" s="277"/>
      <c r="Z560" s="278"/>
    </row>
    <row r="561" ht="15.75" customHeight="1">
      <c r="D561" s="158"/>
      <c r="G561" s="158"/>
      <c r="K561" s="276"/>
      <c r="N561" s="276"/>
      <c r="T561" s="277"/>
      <c r="Z561" s="278"/>
    </row>
    <row r="562" ht="15.75" customHeight="1">
      <c r="D562" s="158"/>
      <c r="G562" s="158"/>
      <c r="K562" s="276"/>
      <c r="N562" s="276"/>
      <c r="T562" s="277"/>
      <c r="Z562" s="278"/>
    </row>
    <row r="563" ht="15.75" customHeight="1">
      <c r="D563" s="158"/>
      <c r="G563" s="158"/>
      <c r="K563" s="276"/>
      <c r="N563" s="276"/>
      <c r="T563" s="277"/>
      <c r="Z563" s="278"/>
    </row>
    <row r="564" ht="15.75" customHeight="1">
      <c r="D564" s="158"/>
      <c r="G564" s="158"/>
      <c r="K564" s="276"/>
      <c r="N564" s="276"/>
      <c r="T564" s="277"/>
      <c r="Z564" s="278"/>
    </row>
    <row r="565" ht="15.75" customHeight="1">
      <c r="D565" s="158"/>
      <c r="G565" s="158"/>
      <c r="K565" s="276"/>
      <c r="N565" s="276"/>
      <c r="T565" s="277"/>
      <c r="Z565" s="278"/>
    </row>
    <row r="566" ht="15.75" customHeight="1">
      <c r="D566" s="158"/>
      <c r="G566" s="158"/>
      <c r="K566" s="276"/>
      <c r="N566" s="276"/>
      <c r="T566" s="277"/>
      <c r="Z566" s="278"/>
    </row>
    <row r="567" ht="15.75" customHeight="1">
      <c r="D567" s="158"/>
      <c r="G567" s="158"/>
      <c r="K567" s="276"/>
      <c r="N567" s="276"/>
      <c r="T567" s="277"/>
      <c r="Z567" s="278"/>
    </row>
    <row r="568" ht="15.75" customHeight="1">
      <c r="D568" s="158"/>
      <c r="G568" s="158"/>
      <c r="K568" s="276"/>
      <c r="N568" s="276"/>
      <c r="T568" s="277"/>
      <c r="Z568" s="278"/>
    </row>
    <row r="569" ht="15.75" customHeight="1">
      <c r="D569" s="158"/>
      <c r="G569" s="158"/>
      <c r="K569" s="276"/>
      <c r="N569" s="276"/>
      <c r="T569" s="277"/>
      <c r="Z569" s="278"/>
    </row>
    <row r="570" ht="15.75" customHeight="1">
      <c r="D570" s="158"/>
      <c r="G570" s="158"/>
      <c r="K570" s="276"/>
      <c r="N570" s="276"/>
      <c r="T570" s="277"/>
      <c r="Z570" s="278"/>
    </row>
    <row r="571" ht="15.75" customHeight="1">
      <c r="D571" s="158"/>
      <c r="G571" s="158"/>
      <c r="K571" s="276"/>
      <c r="N571" s="276"/>
      <c r="T571" s="277"/>
      <c r="Z571" s="278"/>
    </row>
    <row r="572" ht="15.75" customHeight="1">
      <c r="D572" s="158"/>
      <c r="G572" s="158"/>
      <c r="K572" s="276"/>
      <c r="N572" s="276"/>
      <c r="T572" s="277"/>
      <c r="Z572" s="278"/>
    </row>
    <row r="573" ht="15.75" customHeight="1">
      <c r="D573" s="158"/>
      <c r="G573" s="158"/>
      <c r="K573" s="276"/>
      <c r="N573" s="276"/>
      <c r="T573" s="277"/>
      <c r="Z573" s="278"/>
    </row>
    <row r="574" ht="15.75" customHeight="1">
      <c r="D574" s="158"/>
      <c r="G574" s="158"/>
      <c r="K574" s="276"/>
      <c r="N574" s="276"/>
      <c r="T574" s="277"/>
      <c r="Z574" s="278"/>
    </row>
    <row r="575" ht="15.75" customHeight="1">
      <c r="D575" s="158"/>
      <c r="G575" s="158"/>
      <c r="K575" s="276"/>
      <c r="N575" s="276"/>
      <c r="T575" s="277"/>
      <c r="Z575" s="278"/>
    </row>
    <row r="576" ht="15.75" customHeight="1">
      <c r="D576" s="158"/>
      <c r="G576" s="158"/>
      <c r="K576" s="276"/>
      <c r="N576" s="276"/>
      <c r="T576" s="277"/>
      <c r="Z576" s="278"/>
    </row>
    <row r="577" ht="15.75" customHeight="1">
      <c r="D577" s="158"/>
      <c r="G577" s="158"/>
      <c r="K577" s="276"/>
      <c r="N577" s="276"/>
      <c r="T577" s="277"/>
      <c r="Z577" s="278"/>
    </row>
    <row r="578" ht="15.75" customHeight="1">
      <c r="D578" s="158"/>
      <c r="G578" s="158"/>
      <c r="K578" s="276"/>
      <c r="N578" s="276"/>
      <c r="T578" s="277"/>
      <c r="Z578" s="278"/>
    </row>
    <row r="579" ht="15.75" customHeight="1">
      <c r="D579" s="158"/>
      <c r="G579" s="158"/>
      <c r="K579" s="276"/>
      <c r="N579" s="276"/>
      <c r="T579" s="277"/>
      <c r="Z579" s="278"/>
    </row>
    <row r="580" ht="15.75" customHeight="1">
      <c r="D580" s="158"/>
      <c r="G580" s="158"/>
      <c r="K580" s="276"/>
      <c r="N580" s="276"/>
      <c r="T580" s="277"/>
      <c r="Z580" s="278"/>
    </row>
    <row r="581" ht="15.75" customHeight="1">
      <c r="D581" s="158"/>
      <c r="G581" s="158"/>
      <c r="K581" s="276"/>
      <c r="N581" s="276"/>
      <c r="T581" s="277"/>
      <c r="Z581" s="278"/>
    </row>
    <row r="582" ht="15.75" customHeight="1">
      <c r="D582" s="158"/>
      <c r="G582" s="158"/>
      <c r="K582" s="276"/>
      <c r="N582" s="276"/>
      <c r="T582" s="277"/>
      <c r="Z582" s="278"/>
    </row>
    <row r="583" ht="15.75" customHeight="1">
      <c r="D583" s="158"/>
      <c r="G583" s="158"/>
      <c r="K583" s="276"/>
      <c r="N583" s="276"/>
      <c r="T583" s="277"/>
      <c r="Z583" s="278"/>
    </row>
    <row r="584" ht="15.75" customHeight="1">
      <c r="D584" s="158"/>
      <c r="G584" s="158"/>
      <c r="K584" s="276"/>
      <c r="N584" s="276"/>
      <c r="T584" s="277"/>
      <c r="Z584" s="278"/>
    </row>
    <row r="585" ht="15.75" customHeight="1">
      <c r="D585" s="158"/>
      <c r="G585" s="158"/>
      <c r="K585" s="276"/>
      <c r="N585" s="276"/>
      <c r="T585" s="277"/>
      <c r="Z585" s="278"/>
    </row>
    <row r="586" ht="15.75" customHeight="1">
      <c r="D586" s="158"/>
      <c r="G586" s="158"/>
      <c r="K586" s="276"/>
      <c r="N586" s="276"/>
      <c r="T586" s="277"/>
      <c r="Z586" s="278"/>
    </row>
    <row r="587" ht="15.75" customHeight="1">
      <c r="D587" s="158"/>
      <c r="G587" s="158"/>
      <c r="K587" s="276"/>
      <c r="N587" s="276"/>
      <c r="T587" s="277"/>
      <c r="Z587" s="278"/>
    </row>
    <row r="588" ht="15.75" customHeight="1">
      <c r="D588" s="158"/>
      <c r="G588" s="158"/>
      <c r="K588" s="276"/>
      <c r="N588" s="276"/>
      <c r="T588" s="277"/>
      <c r="Z588" s="278"/>
    </row>
    <row r="589" ht="15.75" customHeight="1">
      <c r="D589" s="158"/>
      <c r="G589" s="158"/>
      <c r="K589" s="276"/>
      <c r="N589" s="276"/>
      <c r="T589" s="277"/>
      <c r="Z589" s="278"/>
    </row>
    <row r="590" ht="15.75" customHeight="1">
      <c r="D590" s="158"/>
      <c r="G590" s="158"/>
      <c r="K590" s="276"/>
      <c r="N590" s="276"/>
      <c r="T590" s="277"/>
      <c r="Z590" s="278"/>
    </row>
    <row r="591" ht="15.75" customHeight="1">
      <c r="D591" s="158"/>
      <c r="G591" s="158"/>
      <c r="K591" s="276"/>
      <c r="N591" s="276"/>
      <c r="T591" s="277"/>
      <c r="Z591" s="278"/>
    </row>
    <row r="592" ht="15.75" customHeight="1">
      <c r="D592" s="158"/>
      <c r="G592" s="158"/>
      <c r="K592" s="276"/>
      <c r="N592" s="276"/>
      <c r="T592" s="277"/>
      <c r="Z592" s="278"/>
    </row>
    <row r="593" ht="15.75" customHeight="1">
      <c r="D593" s="158"/>
      <c r="G593" s="158"/>
      <c r="K593" s="276"/>
      <c r="N593" s="276"/>
      <c r="T593" s="277"/>
      <c r="Z593" s="278"/>
    </row>
    <row r="594" ht="15.75" customHeight="1">
      <c r="D594" s="158"/>
      <c r="G594" s="158"/>
      <c r="K594" s="276"/>
      <c r="N594" s="276"/>
      <c r="T594" s="277"/>
      <c r="Z594" s="278"/>
    </row>
    <row r="595" ht="15.75" customHeight="1">
      <c r="D595" s="158"/>
      <c r="G595" s="158"/>
      <c r="K595" s="276"/>
      <c r="N595" s="276"/>
      <c r="T595" s="277"/>
      <c r="Z595" s="278"/>
    </row>
    <row r="596" ht="15.75" customHeight="1">
      <c r="D596" s="158"/>
      <c r="G596" s="158"/>
      <c r="K596" s="276"/>
      <c r="N596" s="276"/>
      <c r="T596" s="277"/>
      <c r="Z596" s="278"/>
    </row>
    <row r="597" ht="15.75" customHeight="1">
      <c r="D597" s="158"/>
      <c r="G597" s="158"/>
      <c r="K597" s="276"/>
      <c r="N597" s="276"/>
      <c r="T597" s="277"/>
      <c r="Z597" s="278"/>
    </row>
    <row r="598" ht="15.75" customHeight="1">
      <c r="D598" s="158"/>
      <c r="G598" s="158"/>
      <c r="K598" s="276"/>
      <c r="N598" s="276"/>
      <c r="T598" s="277"/>
      <c r="Z598" s="278"/>
    </row>
    <row r="599" ht="15.75" customHeight="1">
      <c r="D599" s="158"/>
      <c r="G599" s="158"/>
      <c r="K599" s="276"/>
      <c r="N599" s="276"/>
      <c r="T599" s="277"/>
      <c r="Z599" s="278"/>
    </row>
    <row r="600" ht="15.75" customHeight="1">
      <c r="D600" s="158"/>
      <c r="G600" s="158"/>
      <c r="K600" s="276"/>
      <c r="N600" s="276"/>
      <c r="T600" s="277"/>
      <c r="Z600" s="278"/>
    </row>
    <row r="601" ht="15.75" customHeight="1">
      <c r="D601" s="158"/>
      <c r="G601" s="158"/>
      <c r="K601" s="276"/>
      <c r="N601" s="276"/>
      <c r="T601" s="277"/>
      <c r="Z601" s="278"/>
    </row>
    <row r="602" ht="15.75" customHeight="1">
      <c r="D602" s="158"/>
      <c r="G602" s="158"/>
      <c r="K602" s="276"/>
      <c r="N602" s="276"/>
      <c r="T602" s="277"/>
      <c r="Z602" s="278"/>
    </row>
    <row r="603" ht="15.75" customHeight="1">
      <c r="D603" s="158"/>
      <c r="G603" s="158"/>
      <c r="K603" s="276"/>
      <c r="N603" s="276"/>
      <c r="T603" s="277"/>
      <c r="Z603" s="278"/>
    </row>
    <row r="604" ht="15.75" customHeight="1">
      <c r="D604" s="158"/>
      <c r="G604" s="158"/>
      <c r="K604" s="276"/>
      <c r="N604" s="276"/>
      <c r="T604" s="277"/>
      <c r="Z604" s="278"/>
    </row>
    <row r="605" ht="15.75" customHeight="1">
      <c r="D605" s="158"/>
      <c r="G605" s="158"/>
      <c r="K605" s="276"/>
      <c r="N605" s="276"/>
      <c r="T605" s="277"/>
      <c r="Z605" s="278"/>
    </row>
    <row r="606" ht="15.75" customHeight="1">
      <c r="D606" s="158"/>
      <c r="G606" s="158"/>
      <c r="K606" s="276"/>
      <c r="N606" s="276"/>
      <c r="T606" s="277"/>
      <c r="Z606" s="278"/>
    </row>
    <row r="607" ht="15.75" customHeight="1">
      <c r="D607" s="158"/>
      <c r="G607" s="158"/>
      <c r="K607" s="276"/>
      <c r="N607" s="276"/>
      <c r="T607" s="277"/>
      <c r="Z607" s="278"/>
    </row>
    <row r="608" ht="15.75" customHeight="1">
      <c r="D608" s="158"/>
      <c r="G608" s="158"/>
      <c r="K608" s="276"/>
      <c r="N608" s="276"/>
      <c r="T608" s="277"/>
      <c r="Z608" s="278"/>
    </row>
    <row r="609" ht="15.75" customHeight="1">
      <c r="D609" s="158"/>
      <c r="G609" s="158"/>
      <c r="K609" s="276"/>
      <c r="N609" s="276"/>
      <c r="T609" s="277"/>
      <c r="Z609" s="278"/>
    </row>
    <row r="610" ht="15.75" customHeight="1">
      <c r="D610" s="158"/>
      <c r="G610" s="158"/>
      <c r="K610" s="276"/>
      <c r="N610" s="276"/>
      <c r="T610" s="277"/>
      <c r="Z610" s="278"/>
    </row>
    <row r="611" ht="15.75" customHeight="1">
      <c r="D611" s="158"/>
      <c r="G611" s="158"/>
      <c r="K611" s="276"/>
      <c r="N611" s="276"/>
      <c r="T611" s="277"/>
      <c r="Z611" s="278"/>
    </row>
    <row r="612" ht="15.75" customHeight="1">
      <c r="D612" s="158"/>
      <c r="G612" s="158"/>
      <c r="K612" s="276"/>
      <c r="N612" s="276"/>
      <c r="T612" s="277"/>
      <c r="Z612" s="278"/>
    </row>
    <row r="613" ht="15.75" customHeight="1">
      <c r="D613" s="158"/>
      <c r="G613" s="158"/>
      <c r="K613" s="276"/>
      <c r="N613" s="276"/>
      <c r="T613" s="277"/>
      <c r="Z613" s="278"/>
    </row>
    <row r="614" ht="15.75" customHeight="1">
      <c r="D614" s="158"/>
      <c r="G614" s="158"/>
      <c r="K614" s="276"/>
      <c r="N614" s="276"/>
      <c r="T614" s="277"/>
      <c r="Z614" s="278"/>
    </row>
    <row r="615" ht="15.75" customHeight="1">
      <c r="D615" s="158"/>
      <c r="G615" s="158"/>
      <c r="K615" s="276"/>
      <c r="N615" s="276"/>
      <c r="T615" s="277"/>
      <c r="Z615" s="278"/>
    </row>
    <row r="616" ht="15.75" customHeight="1">
      <c r="D616" s="158"/>
      <c r="G616" s="158"/>
      <c r="K616" s="276"/>
      <c r="N616" s="276"/>
      <c r="T616" s="277"/>
      <c r="Z616" s="278"/>
    </row>
    <row r="617" ht="15.75" customHeight="1">
      <c r="D617" s="158"/>
      <c r="G617" s="158"/>
      <c r="K617" s="276"/>
      <c r="N617" s="276"/>
      <c r="T617" s="277"/>
      <c r="Z617" s="278"/>
    </row>
    <row r="618" ht="15.75" customHeight="1">
      <c r="D618" s="158"/>
      <c r="G618" s="158"/>
      <c r="K618" s="276"/>
      <c r="N618" s="276"/>
      <c r="T618" s="277"/>
      <c r="Z618" s="278"/>
    </row>
    <row r="619" ht="15.75" customHeight="1">
      <c r="D619" s="158"/>
      <c r="G619" s="158"/>
      <c r="K619" s="276"/>
      <c r="N619" s="276"/>
      <c r="T619" s="277"/>
      <c r="Z619" s="278"/>
    </row>
    <row r="620" ht="15.75" customHeight="1">
      <c r="D620" s="158"/>
      <c r="G620" s="158"/>
      <c r="K620" s="276"/>
      <c r="N620" s="276"/>
      <c r="T620" s="277"/>
      <c r="Z620" s="278"/>
    </row>
    <row r="621" ht="15.75" customHeight="1">
      <c r="D621" s="158"/>
      <c r="G621" s="158"/>
      <c r="K621" s="276"/>
      <c r="N621" s="276"/>
      <c r="T621" s="277"/>
      <c r="Z621" s="278"/>
    </row>
    <row r="622" ht="15.75" customHeight="1">
      <c r="D622" s="158"/>
      <c r="G622" s="158"/>
      <c r="K622" s="276"/>
      <c r="N622" s="276"/>
      <c r="T622" s="277"/>
      <c r="Z622" s="278"/>
    </row>
    <row r="623" ht="15.75" customHeight="1">
      <c r="D623" s="158"/>
      <c r="G623" s="158"/>
      <c r="K623" s="276"/>
      <c r="N623" s="276"/>
      <c r="T623" s="277"/>
      <c r="Z623" s="278"/>
    </row>
    <row r="624" ht="15.75" customHeight="1">
      <c r="D624" s="158"/>
      <c r="G624" s="158"/>
      <c r="K624" s="276"/>
      <c r="N624" s="276"/>
      <c r="T624" s="277"/>
      <c r="Z624" s="278"/>
    </row>
    <row r="625" ht="15.75" customHeight="1">
      <c r="D625" s="158"/>
      <c r="G625" s="158"/>
      <c r="K625" s="276"/>
      <c r="N625" s="276"/>
      <c r="T625" s="277"/>
      <c r="Z625" s="278"/>
    </row>
    <row r="626" ht="15.75" customHeight="1">
      <c r="D626" s="158"/>
      <c r="G626" s="158"/>
      <c r="K626" s="276"/>
      <c r="N626" s="276"/>
      <c r="T626" s="277"/>
      <c r="Z626" s="278"/>
    </row>
    <row r="627" ht="15.75" customHeight="1">
      <c r="D627" s="158"/>
      <c r="G627" s="158"/>
      <c r="K627" s="276"/>
      <c r="N627" s="276"/>
      <c r="T627" s="277"/>
      <c r="Z627" s="278"/>
    </row>
    <row r="628" ht="15.75" customHeight="1">
      <c r="D628" s="158"/>
      <c r="G628" s="158"/>
      <c r="K628" s="276"/>
      <c r="N628" s="276"/>
      <c r="T628" s="277"/>
      <c r="Z628" s="278"/>
    </row>
    <row r="629" ht="15.75" customHeight="1">
      <c r="D629" s="158"/>
      <c r="G629" s="158"/>
      <c r="K629" s="276"/>
      <c r="N629" s="276"/>
      <c r="T629" s="277"/>
      <c r="Z629" s="278"/>
    </row>
    <row r="630" ht="15.75" customHeight="1">
      <c r="D630" s="158"/>
      <c r="G630" s="158"/>
      <c r="K630" s="276"/>
      <c r="N630" s="276"/>
      <c r="T630" s="277"/>
      <c r="Z630" s="278"/>
    </row>
    <row r="631" ht="15.75" customHeight="1">
      <c r="D631" s="158"/>
      <c r="G631" s="158"/>
      <c r="K631" s="276"/>
      <c r="N631" s="276"/>
      <c r="T631" s="277"/>
      <c r="Z631" s="278"/>
    </row>
    <row r="632" ht="15.75" customHeight="1">
      <c r="D632" s="158"/>
      <c r="G632" s="158"/>
      <c r="K632" s="276"/>
      <c r="N632" s="276"/>
      <c r="T632" s="277"/>
      <c r="Z632" s="278"/>
    </row>
    <row r="633" ht="15.75" customHeight="1">
      <c r="D633" s="158"/>
      <c r="G633" s="158"/>
      <c r="K633" s="276"/>
      <c r="N633" s="276"/>
      <c r="T633" s="277"/>
      <c r="Z633" s="278"/>
    </row>
    <row r="634" ht="15.75" customHeight="1">
      <c r="D634" s="158"/>
      <c r="G634" s="158"/>
      <c r="K634" s="276"/>
      <c r="N634" s="276"/>
      <c r="T634" s="277"/>
      <c r="Z634" s="278"/>
    </row>
    <row r="635" ht="15.75" customHeight="1">
      <c r="D635" s="158"/>
      <c r="G635" s="158"/>
      <c r="K635" s="276"/>
      <c r="N635" s="276"/>
      <c r="T635" s="277"/>
      <c r="Z635" s="278"/>
    </row>
    <row r="636" ht="15.75" customHeight="1">
      <c r="D636" s="158"/>
      <c r="G636" s="158"/>
      <c r="K636" s="276"/>
      <c r="N636" s="276"/>
      <c r="T636" s="277"/>
      <c r="Z636" s="278"/>
    </row>
    <row r="637" ht="15.75" customHeight="1">
      <c r="D637" s="158"/>
      <c r="G637" s="158"/>
      <c r="K637" s="276"/>
      <c r="N637" s="276"/>
      <c r="T637" s="277"/>
      <c r="Z637" s="278"/>
    </row>
    <row r="638" ht="15.75" customHeight="1">
      <c r="D638" s="158"/>
      <c r="G638" s="158"/>
      <c r="K638" s="276"/>
      <c r="N638" s="276"/>
      <c r="T638" s="277"/>
      <c r="Z638" s="278"/>
    </row>
    <row r="639" ht="15.75" customHeight="1">
      <c r="D639" s="158"/>
      <c r="G639" s="158"/>
      <c r="K639" s="276"/>
      <c r="N639" s="276"/>
      <c r="T639" s="277"/>
      <c r="Z639" s="278"/>
    </row>
    <row r="640" ht="15.75" customHeight="1">
      <c r="D640" s="158"/>
      <c r="G640" s="158"/>
      <c r="K640" s="276"/>
      <c r="N640" s="276"/>
      <c r="T640" s="277"/>
      <c r="Z640" s="278"/>
    </row>
    <row r="641" ht="15.75" customHeight="1">
      <c r="D641" s="158"/>
      <c r="G641" s="158"/>
      <c r="K641" s="276"/>
      <c r="N641" s="276"/>
      <c r="T641" s="277"/>
      <c r="Z641" s="278"/>
    </row>
    <row r="642" ht="15.75" customHeight="1">
      <c r="D642" s="158"/>
      <c r="G642" s="158"/>
      <c r="K642" s="276"/>
      <c r="N642" s="276"/>
      <c r="T642" s="277"/>
      <c r="Z642" s="278"/>
    </row>
    <row r="643" ht="15.75" customHeight="1">
      <c r="D643" s="158"/>
      <c r="G643" s="158"/>
      <c r="K643" s="276"/>
      <c r="N643" s="276"/>
      <c r="T643" s="277"/>
      <c r="Z643" s="278"/>
    </row>
    <row r="644" ht="15.75" customHeight="1">
      <c r="D644" s="158"/>
      <c r="G644" s="158"/>
      <c r="K644" s="276"/>
      <c r="N644" s="276"/>
      <c r="T644" s="277"/>
      <c r="Z644" s="278"/>
    </row>
    <row r="645" ht="15.75" customHeight="1">
      <c r="D645" s="158"/>
      <c r="G645" s="158"/>
      <c r="K645" s="276"/>
      <c r="N645" s="276"/>
      <c r="T645" s="277"/>
      <c r="Z645" s="278"/>
    </row>
    <row r="646" ht="15.75" customHeight="1">
      <c r="D646" s="158"/>
      <c r="G646" s="158"/>
      <c r="K646" s="276"/>
      <c r="N646" s="276"/>
      <c r="T646" s="277"/>
      <c r="Z646" s="278"/>
    </row>
    <row r="647" ht="15.75" customHeight="1">
      <c r="D647" s="158"/>
      <c r="G647" s="158"/>
      <c r="K647" s="276"/>
      <c r="N647" s="276"/>
      <c r="T647" s="277"/>
      <c r="Z647" s="278"/>
    </row>
    <row r="648" ht="15.75" customHeight="1">
      <c r="D648" s="158"/>
      <c r="G648" s="158"/>
      <c r="K648" s="276"/>
      <c r="N648" s="276"/>
      <c r="T648" s="277"/>
      <c r="Z648" s="278"/>
    </row>
    <row r="649" ht="15.75" customHeight="1">
      <c r="D649" s="158"/>
      <c r="G649" s="158"/>
      <c r="K649" s="276"/>
      <c r="N649" s="276"/>
      <c r="T649" s="277"/>
      <c r="Z649" s="278"/>
    </row>
    <row r="650" ht="15.75" customHeight="1">
      <c r="D650" s="158"/>
      <c r="G650" s="158"/>
      <c r="K650" s="276"/>
      <c r="N650" s="276"/>
      <c r="T650" s="277"/>
      <c r="Z650" s="278"/>
    </row>
    <row r="651" ht="15.75" customHeight="1">
      <c r="D651" s="158"/>
      <c r="G651" s="158"/>
      <c r="K651" s="276"/>
      <c r="N651" s="276"/>
      <c r="T651" s="277"/>
      <c r="Z651" s="278"/>
    </row>
    <row r="652" ht="15.75" customHeight="1">
      <c r="D652" s="158"/>
      <c r="G652" s="158"/>
      <c r="K652" s="276"/>
      <c r="N652" s="276"/>
      <c r="T652" s="277"/>
      <c r="Z652" s="278"/>
    </row>
    <row r="653" ht="15.75" customHeight="1">
      <c r="D653" s="158"/>
      <c r="G653" s="158"/>
      <c r="K653" s="276"/>
      <c r="N653" s="276"/>
      <c r="T653" s="277"/>
      <c r="Z653" s="278"/>
    </row>
    <row r="654" ht="15.75" customHeight="1">
      <c r="D654" s="158"/>
      <c r="G654" s="158"/>
      <c r="K654" s="276"/>
      <c r="N654" s="276"/>
      <c r="T654" s="277"/>
      <c r="Z654" s="278"/>
    </row>
    <row r="655" ht="15.75" customHeight="1">
      <c r="D655" s="158"/>
      <c r="G655" s="158"/>
      <c r="K655" s="276"/>
      <c r="N655" s="276"/>
      <c r="T655" s="277"/>
      <c r="Z655" s="278"/>
    </row>
    <row r="656" ht="15.75" customHeight="1">
      <c r="D656" s="158"/>
      <c r="G656" s="158"/>
      <c r="K656" s="276"/>
      <c r="N656" s="276"/>
      <c r="T656" s="277"/>
      <c r="Z656" s="278"/>
    </row>
    <row r="657" ht="15.75" customHeight="1">
      <c r="D657" s="158"/>
      <c r="G657" s="158"/>
      <c r="K657" s="276"/>
      <c r="N657" s="276"/>
      <c r="T657" s="277"/>
      <c r="Z657" s="278"/>
    </row>
    <row r="658" ht="15.75" customHeight="1">
      <c r="D658" s="158"/>
      <c r="G658" s="158"/>
      <c r="K658" s="276"/>
      <c r="N658" s="276"/>
      <c r="T658" s="277"/>
      <c r="Z658" s="278"/>
    </row>
    <row r="659" ht="15.75" customHeight="1">
      <c r="D659" s="158"/>
      <c r="G659" s="158"/>
      <c r="K659" s="276"/>
      <c r="N659" s="276"/>
      <c r="T659" s="277"/>
      <c r="Z659" s="278"/>
    </row>
    <row r="660" ht="15.75" customHeight="1">
      <c r="D660" s="158"/>
      <c r="G660" s="158"/>
      <c r="K660" s="276"/>
      <c r="N660" s="276"/>
      <c r="T660" s="277"/>
      <c r="Z660" s="278"/>
    </row>
    <row r="661" ht="15.75" customHeight="1">
      <c r="D661" s="158"/>
      <c r="G661" s="158"/>
      <c r="K661" s="276"/>
      <c r="N661" s="276"/>
      <c r="T661" s="277"/>
      <c r="Z661" s="278"/>
    </row>
    <row r="662" ht="15.75" customHeight="1">
      <c r="D662" s="158"/>
      <c r="G662" s="158"/>
      <c r="K662" s="276"/>
      <c r="N662" s="276"/>
      <c r="T662" s="277"/>
      <c r="Z662" s="278"/>
    </row>
    <row r="663" ht="15.75" customHeight="1">
      <c r="D663" s="158"/>
      <c r="G663" s="158"/>
      <c r="K663" s="276"/>
      <c r="N663" s="276"/>
      <c r="T663" s="277"/>
      <c r="Z663" s="278"/>
    </row>
    <row r="664" ht="15.75" customHeight="1">
      <c r="D664" s="158"/>
      <c r="G664" s="158"/>
      <c r="K664" s="276"/>
      <c r="N664" s="276"/>
      <c r="T664" s="277"/>
      <c r="Z664" s="278"/>
    </row>
    <row r="665" ht="15.75" customHeight="1">
      <c r="D665" s="158"/>
      <c r="G665" s="158"/>
      <c r="K665" s="276"/>
      <c r="N665" s="276"/>
      <c r="T665" s="277"/>
      <c r="Z665" s="278"/>
    </row>
    <row r="666" ht="15.75" customHeight="1">
      <c r="D666" s="158"/>
      <c r="G666" s="158"/>
      <c r="K666" s="276"/>
      <c r="N666" s="276"/>
      <c r="T666" s="277"/>
      <c r="Z666" s="278"/>
    </row>
    <row r="667" ht="15.75" customHeight="1">
      <c r="D667" s="158"/>
      <c r="G667" s="158"/>
      <c r="K667" s="276"/>
      <c r="N667" s="276"/>
      <c r="T667" s="277"/>
      <c r="Z667" s="278"/>
    </row>
    <row r="668" ht="15.75" customHeight="1">
      <c r="D668" s="158"/>
      <c r="G668" s="158"/>
      <c r="K668" s="276"/>
      <c r="N668" s="276"/>
      <c r="T668" s="277"/>
      <c r="Z668" s="278"/>
    </row>
    <row r="669" ht="15.75" customHeight="1">
      <c r="D669" s="158"/>
      <c r="G669" s="158"/>
      <c r="K669" s="276"/>
      <c r="N669" s="276"/>
      <c r="T669" s="277"/>
      <c r="Z669" s="278"/>
    </row>
    <row r="670" ht="15.75" customHeight="1">
      <c r="D670" s="158"/>
      <c r="G670" s="158"/>
      <c r="K670" s="276"/>
      <c r="N670" s="276"/>
      <c r="T670" s="277"/>
      <c r="Z670" s="278"/>
    </row>
    <row r="671" ht="15.75" customHeight="1">
      <c r="D671" s="158"/>
      <c r="G671" s="158"/>
      <c r="K671" s="276"/>
      <c r="N671" s="276"/>
      <c r="T671" s="277"/>
      <c r="Z671" s="278"/>
    </row>
    <row r="672" ht="15.75" customHeight="1">
      <c r="D672" s="158"/>
      <c r="G672" s="158"/>
      <c r="K672" s="276"/>
      <c r="N672" s="276"/>
      <c r="T672" s="277"/>
      <c r="Z672" s="278"/>
    </row>
    <row r="673" ht="15.75" customHeight="1">
      <c r="D673" s="158"/>
      <c r="G673" s="158"/>
      <c r="K673" s="276"/>
      <c r="N673" s="276"/>
      <c r="T673" s="277"/>
      <c r="Z673" s="278"/>
    </row>
    <row r="674" ht="15.75" customHeight="1">
      <c r="D674" s="158"/>
      <c r="G674" s="158"/>
      <c r="K674" s="276"/>
      <c r="N674" s="276"/>
      <c r="T674" s="277"/>
      <c r="Z674" s="278"/>
    </row>
    <row r="675" ht="15.75" customHeight="1">
      <c r="D675" s="158"/>
      <c r="G675" s="158"/>
      <c r="K675" s="276"/>
      <c r="N675" s="276"/>
      <c r="T675" s="277"/>
      <c r="Z675" s="278"/>
    </row>
    <row r="676" ht="15.75" customHeight="1">
      <c r="D676" s="158"/>
      <c r="G676" s="158"/>
      <c r="K676" s="276"/>
      <c r="N676" s="276"/>
      <c r="T676" s="277"/>
      <c r="Z676" s="278"/>
    </row>
    <row r="677" ht="15.75" customHeight="1">
      <c r="D677" s="158"/>
      <c r="G677" s="158"/>
      <c r="K677" s="276"/>
      <c r="N677" s="276"/>
      <c r="T677" s="277"/>
      <c r="Z677" s="278"/>
    </row>
    <row r="678" ht="15.75" customHeight="1">
      <c r="D678" s="158"/>
      <c r="G678" s="158"/>
      <c r="K678" s="276"/>
      <c r="N678" s="276"/>
      <c r="T678" s="277"/>
      <c r="Z678" s="278"/>
    </row>
    <row r="679" ht="15.75" customHeight="1">
      <c r="D679" s="158"/>
      <c r="G679" s="158"/>
      <c r="K679" s="276"/>
      <c r="N679" s="276"/>
      <c r="T679" s="277"/>
      <c r="Z679" s="278"/>
    </row>
    <row r="680" ht="15.75" customHeight="1">
      <c r="D680" s="158"/>
      <c r="G680" s="158"/>
      <c r="K680" s="276"/>
      <c r="N680" s="276"/>
      <c r="T680" s="277"/>
      <c r="Z680" s="278"/>
    </row>
    <row r="681" ht="15.75" customHeight="1">
      <c r="D681" s="158"/>
      <c r="G681" s="158"/>
      <c r="K681" s="276"/>
      <c r="N681" s="276"/>
      <c r="T681" s="277"/>
      <c r="Z681" s="278"/>
    </row>
    <row r="682" ht="15.75" customHeight="1">
      <c r="D682" s="158"/>
      <c r="G682" s="158"/>
      <c r="K682" s="276"/>
      <c r="N682" s="276"/>
      <c r="T682" s="277"/>
      <c r="Z682" s="278"/>
    </row>
    <row r="683" ht="15.75" customHeight="1">
      <c r="D683" s="158"/>
      <c r="G683" s="158"/>
      <c r="K683" s="276"/>
      <c r="N683" s="276"/>
      <c r="T683" s="277"/>
      <c r="Z683" s="278"/>
    </row>
    <row r="684" ht="15.75" customHeight="1">
      <c r="D684" s="158"/>
      <c r="G684" s="158"/>
      <c r="K684" s="276"/>
      <c r="N684" s="276"/>
      <c r="T684" s="277"/>
      <c r="Z684" s="278"/>
    </row>
    <row r="685" ht="15.75" customHeight="1">
      <c r="D685" s="158"/>
      <c r="G685" s="158"/>
      <c r="K685" s="276"/>
      <c r="N685" s="276"/>
      <c r="T685" s="277"/>
      <c r="Z685" s="278"/>
    </row>
    <row r="686" ht="15.75" customHeight="1">
      <c r="D686" s="158"/>
      <c r="G686" s="158"/>
      <c r="K686" s="276"/>
      <c r="N686" s="276"/>
      <c r="T686" s="277"/>
      <c r="Z686" s="278"/>
    </row>
    <row r="687" ht="15.75" customHeight="1">
      <c r="D687" s="158"/>
      <c r="G687" s="158"/>
      <c r="K687" s="276"/>
      <c r="N687" s="276"/>
      <c r="T687" s="277"/>
      <c r="Z687" s="278"/>
    </row>
    <row r="688" ht="15.75" customHeight="1">
      <c r="D688" s="158"/>
      <c r="G688" s="158"/>
      <c r="K688" s="276"/>
      <c r="N688" s="276"/>
      <c r="T688" s="277"/>
      <c r="Z688" s="278"/>
    </row>
    <row r="689" ht="15.75" customHeight="1">
      <c r="D689" s="158"/>
      <c r="G689" s="158"/>
      <c r="K689" s="276"/>
      <c r="N689" s="276"/>
      <c r="T689" s="277"/>
      <c r="Z689" s="278"/>
    </row>
    <row r="690" ht="15.75" customHeight="1">
      <c r="D690" s="158"/>
      <c r="G690" s="158"/>
      <c r="K690" s="276"/>
      <c r="N690" s="276"/>
      <c r="T690" s="277"/>
      <c r="Z690" s="278"/>
    </row>
    <row r="691" ht="15.75" customHeight="1">
      <c r="D691" s="158"/>
      <c r="G691" s="158"/>
      <c r="K691" s="276"/>
      <c r="N691" s="276"/>
      <c r="T691" s="277"/>
      <c r="Z691" s="278"/>
    </row>
    <row r="692" ht="15.75" customHeight="1">
      <c r="D692" s="158"/>
      <c r="G692" s="158"/>
      <c r="K692" s="276"/>
      <c r="N692" s="276"/>
      <c r="T692" s="277"/>
      <c r="Z692" s="278"/>
    </row>
    <row r="693" ht="15.75" customHeight="1">
      <c r="D693" s="158"/>
      <c r="G693" s="158"/>
      <c r="K693" s="276"/>
      <c r="N693" s="276"/>
      <c r="T693" s="277"/>
      <c r="Z693" s="278"/>
    </row>
    <row r="694" ht="15.75" customHeight="1">
      <c r="D694" s="158"/>
      <c r="G694" s="158"/>
      <c r="K694" s="276"/>
      <c r="N694" s="276"/>
      <c r="T694" s="277"/>
      <c r="Z694" s="278"/>
    </row>
    <row r="695" ht="15.75" customHeight="1">
      <c r="D695" s="158"/>
      <c r="G695" s="158"/>
      <c r="K695" s="276"/>
      <c r="N695" s="276"/>
      <c r="T695" s="277"/>
      <c r="Z695" s="278"/>
    </row>
    <row r="696" ht="15.75" customHeight="1">
      <c r="D696" s="158"/>
      <c r="G696" s="158"/>
      <c r="K696" s="276"/>
      <c r="N696" s="276"/>
      <c r="T696" s="277"/>
      <c r="Z696" s="278"/>
    </row>
    <row r="697" ht="15.75" customHeight="1">
      <c r="D697" s="158"/>
      <c r="G697" s="158"/>
      <c r="K697" s="276"/>
      <c r="N697" s="276"/>
      <c r="T697" s="277"/>
      <c r="Z697" s="278"/>
    </row>
    <row r="698" ht="15.75" customHeight="1">
      <c r="D698" s="158"/>
      <c r="G698" s="158"/>
      <c r="K698" s="276"/>
      <c r="N698" s="276"/>
      <c r="T698" s="277"/>
      <c r="Z698" s="278"/>
    </row>
    <row r="699" ht="15.75" customHeight="1">
      <c r="D699" s="158"/>
      <c r="G699" s="158"/>
      <c r="K699" s="276"/>
      <c r="N699" s="276"/>
      <c r="T699" s="277"/>
      <c r="Z699" s="278"/>
    </row>
    <row r="700" ht="15.75" customHeight="1">
      <c r="D700" s="158"/>
      <c r="G700" s="158"/>
      <c r="K700" s="276"/>
      <c r="N700" s="276"/>
      <c r="T700" s="277"/>
      <c r="Z700" s="278"/>
    </row>
    <row r="701" ht="15.75" customHeight="1">
      <c r="D701" s="158"/>
      <c r="G701" s="158"/>
      <c r="K701" s="276"/>
      <c r="N701" s="276"/>
      <c r="T701" s="277"/>
      <c r="Z701" s="278"/>
    </row>
    <row r="702" ht="15.75" customHeight="1">
      <c r="D702" s="158"/>
      <c r="G702" s="158"/>
      <c r="K702" s="276"/>
      <c r="N702" s="276"/>
      <c r="T702" s="277"/>
      <c r="Z702" s="278"/>
    </row>
    <row r="703" ht="15.75" customHeight="1">
      <c r="D703" s="158"/>
      <c r="G703" s="158"/>
      <c r="K703" s="276"/>
      <c r="N703" s="276"/>
      <c r="T703" s="277"/>
      <c r="Z703" s="278"/>
    </row>
    <row r="704" ht="15.75" customHeight="1">
      <c r="D704" s="158"/>
      <c r="G704" s="158"/>
      <c r="K704" s="276"/>
      <c r="N704" s="276"/>
      <c r="T704" s="277"/>
      <c r="Z704" s="278"/>
    </row>
    <row r="705" ht="15.75" customHeight="1">
      <c r="D705" s="158"/>
      <c r="G705" s="158"/>
      <c r="K705" s="276"/>
      <c r="N705" s="276"/>
      <c r="T705" s="277"/>
      <c r="Z705" s="278"/>
    </row>
    <row r="706" ht="15.75" customHeight="1">
      <c r="D706" s="158"/>
      <c r="G706" s="158"/>
      <c r="K706" s="276"/>
      <c r="N706" s="276"/>
      <c r="T706" s="277"/>
      <c r="Z706" s="278"/>
    </row>
    <row r="707" ht="15.75" customHeight="1">
      <c r="D707" s="158"/>
      <c r="G707" s="158"/>
      <c r="K707" s="276"/>
      <c r="N707" s="276"/>
      <c r="T707" s="277"/>
      <c r="Z707" s="278"/>
    </row>
    <row r="708" ht="15.75" customHeight="1">
      <c r="D708" s="158"/>
      <c r="G708" s="158"/>
      <c r="K708" s="276"/>
      <c r="N708" s="276"/>
      <c r="T708" s="277"/>
      <c r="Z708" s="278"/>
    </row>
    <row r="709" ht="15.75" customHeight="1">
      <c r="D709" s="158"/>
      <c r="G709" s="158"/>
      <c r="K709" s="276"/>
      <c r="N709" s="276"/>
      <c r="T709" s="277"/>
      <c r="Z709" s="278"/>
    </row>
    <row r="710" ht="15.75" customHeight="1">
      <c r="D710" s="158"/>
      <c r="G710" s="158"/>
      <c r="K710" s="276"/>
      <c r="N710" s="276"/>
      <c r="T710" s="277"/>
      <c r="Z710" s="278"/>
    </row>
    <row r="711" ht="15.75" customHeight="1">
      <c r="D711" s="158"/>
      <c r="G711" s="158"/>
      <c r="K711" s="276"/>
      <c r="N711" s="276"/>
      <c r="T711" s="277"/>
      <c r="Z711" s="278"/>
    </row>
    <row r="712" ht="15.75" customHeight="1">
      <c r="D712" s="158"/>
      <c r="G712" s="158"/>
      <c r="K712" s="276"/>
      <c r="N712" s="276"/>
      <c r="T712" s="277"/>
      <c r="Z712" s="278"/>
    </row>
    <row r="713" ht="15.75" customHeight="1">
      <c r="D713" s="158"/>
      <c r="G713" s="158"/>
      <c r="K713" s="276"/>
      <c r="N713" s="276"/>
      <c r="T713" s="277"/>
      <c r="Z713" s="278"/>
    </row>
    <row r="714" ht="15.75" customHeight="1">
      <c r="D714" s="158"/>
      <c r="G714" s="158"/>
      <c r="K714" s="276"/>
      <c r="N714" s="276"/>
      <c r="T714" s="277"/>
      <c r="Z714" s="278"/>
    </row>
    <row r="715" ht="15.75" customHeight="1">
      <c r="D715" s="158"/>
      <c r="G715" s="158"/>
      <c r="K715" s="276"/>
      <c r="N715" s="276"/>
      <c r="T715" s="277"/>
      <c r="Z715" s="278"/>
    </row>
    <row r="716" ht="15.75" customHeight="1">
      <c r="D716" s="158"/>
      <c r="G716" s="158"/>
      <c r="K716" s="276"/>
      <c r="N716" s="276"/>
      <c r="T716" s="277"/>
      <c r="Z716" s="278"/>
    </row>
    <row r="717" ht="15.75" customHeight="1">
      <c r="D717" s="158"/>
      <c r="G717" s="158"/>
      <c r="K717" s="276"/>
      <c r="N717" s="276"/>
      <c r="T717" s="277"/>
      <c r="Z717" s="278"/>
    </row>
    <row r="718" ht="15.75" customHeight="1">
      <c r="D718" s="158"/>
      <c r="G718" s="158"/>
      <c r="K718" s="276"/>
      <c r="N718" s="276"/>
      <c r="T718" s="277"/>
      <c r="Z718" s="278"/>
    </row>
    <row r="719" ht="15.75" customHeight="1">
      <c r="D719" s="158"/>
      <c r="G719" s="158"/>
      <c r="K719" s="276"/>
      <c r="N719" s="276"/>
      <c r="T719" s="277"/>
      <c r="Z719" s="278"/>
    </row>
    <row r="720" ht="15.75" customHeight="1">
      <c r="D720" s="158"/>
      <c r="G720" s="158"/>
      <c r="K720" s="276"/>
      <c r="N720" s="276"/>
      <c r="T720" s="277"/>
      <c r="Z720" s="278"/>
    </row>
    <row r="721" ht="15.75" customHeight="1">
      <c r="D721" s="158"/>
      <c r="G721" s="158"/>
      <c r="K721" s="276"/>
      <c r="N721" s="276"/>
      <c r="T721" s="277"/>
      <c r="Z721" s="278"/>
    </row>
    <row r="722" ht="15.75" customHeight="1">
      <c r="D722" s="158"/>
      <c r="G722" s="158"/>
      <c r="K722" s="276"/>
      <c r="N722" s="276"/>
      <c r="T722" s="277"/>
      <c r="Z722" s="278"/>
    </row>
    <row r="723" ht="15.75" customHeight="1">
      <c r="D723" s="158"/>
      <c r="G723" s="158"/>
      <c r="K723" s="276"/>
      <c r="N723" s="276"/>
      <c r="T723" s="277"/>
      <c r="Z723" s="278"/>
    </row>
    <row r="724" ht="15.75" customHeight="1">
      <c r="D724" s="158"/>
      <c r="G724" s="158"/>
      <c r="K724" s="276"/>
      <c r="N724" s="276"/>
      <c r="T724" s="277"/>
      <c r="Z724" s="278"/>
    </row>
    <row r="725" ht="15.75" customHeight="1">
      <c r="D725" s="158"/>
      <c r="G725" s="158"/>
      <c r="K725" s="276"/>
      <c r="N725" s="276"/>
      <c r="T725" s="277"/>
      <c r="Z725" s="278"/>
    </row>
    <row r="726" ht="15.75" customHeight="1">
      <c r="D726" s="158"/>
      <c r="G726" s="158"/>
      <c r="K726" s="276"/>
      <c r="N726" s="276"/>
      <c r="T726" s="277"/>
      <c r="Z726" s="278"/>
    </row>
    <row r="727" ht="15.75" customHeight="1">
      <c r="D727" s="158"/>
      <c r="G727" s="158"/>
      <c r="K727" s="276"/>
      <c r="N727" s="276"/>
      <c r="T727" s="277"/>
      <c r="Z727" s="278"/>
    </row>
    <row r="728" ht="15.75" customHeight="1">
      <c r="D728" s="158"/>
      <c r="G728" s="158"/>
      <c r="K728" s="276"/>
      <c r="N728" s="276"/>
      <c r="T728" s="277"/>
      <c r="Z728" s="278"/>
    </row>
    <row r="729" ht="15.75" customHeight="1">
      <c r="D729" s="158"/>
      <c r="G729" s="158"/>
      <c r="K729" s="276"/>
      <c r="N729" s="276"/>
      <c r="T729" s="277"/>
      <c r="Z729" s="278"/>
    </row>
    <row r="730" ht="15.75" customHeight="1">
      <c r="D730" s="158"/>
      <c r="G730" s="158"/>
      <c r="K730" s="276"/>
      <c r="N730" s="276"/>
      <c r="T730" s="277"/>
      <c r="Z730" s="278"/>
    </row>
    <row r="731" ht="15.75" customHeight="1">
      <c r="D731" s="158"/>
      <c r="G731" s="158"/>
      <c r="K731" s="276"/>
      <c r="N731" s="276"/>
      <c r="T731" s="277"/>
      <c r="Z731" s="278"/>
    </row>
    <row r="732" ht="15.75" customHeight="1">
      <c r="D732" s="158"/>
      <c r="G732" s="158"/>
      <c r="K732" s="276"/>
      <c r="N732" s="276"/>
      <c r="T732" s="277"/>
      <c r="Z732" s="278"/>
    </row>
    <row r="733" ht="15.75" customHeight="1">
      <c r="D733" s="158"/>
      <c r="G733" s="158"/>
      <c r="K733" s="276"/>
      <c r="N733" s="276"/>
      <c r="T733" s="277"/>
      <c r="Z733" s="278"/>
    </row>
    <row r="734" ht="15.75" customHeight="1">
      <c r="D734" s="158"/>
      <c r="G734" s="158"/>
      <c r="K734" s="276"/>
      <c r="N734" s="276"/>
      <c r="T734" s="277"/>
      <c r="Z734" s="278"/>
    </row>
    <row r="735" ht="15.75" customHeight="1">
      <c r="D735" s="158"/>
      <c r="G735" s="158"/>
      <c r="K735" s="276"/>
      <c r="N735" s="276"/>
      <c r="T735" s="277"/>
      <c r="Z735" s="278"/>
    </row>
    <row r="736" ht="15.75" customHeight="1">
      <c r="D736" s="158"/>
      <c r="G736" s="158"/>
      <c r="K736" s="276"/>
      <c r="N736" s="276"/>
      <c r="T736" s="277"/>
      <c r="Z736" s="278"/>
    </row>
    <row r="737" ht="15.75" customHeight="1">
      <c r="D737" s="158"/>
      <c r="G737" s="158"/>
      <c r="K737" s="276"/>
      <c r="N737" s="276"/>
      <c r="T737" s="277"/>
      <c r="Z737" s="278"/>
    </row>
    <row r="738" ht="15.75" customHeight="1">
      <c r="D738" s="158"/>
      <c r="G738" s="158"/>
      <c r="K738" s="276"/>
      <c r="N738" s="276"/>
      <c r="T738" s="277"/>
      <c r="Z738" s="278"/>
    </row>
    <row r="739" ht="15.75" customHeight="1">
      <c r="D739" s="158"/>
      <c r="G739" s="158"/>
      <c r="K739" s="276"/>
      <c r="N739" s="276"/>
      <c r="T739" s="277"/>
      <c r="Z739" s="278"/>
    </row>
    <row r="740" ht="15.75" customHeight="1">
      <c r="D740" s="158"/>
      <c r="G740" s="158"/>
      <c r="K740" s="276"/>
      <c r="N740" s="276"/>
      <c r="T740" s="277"/>
      <c r="Z740" s="278"/>
    </row>
    <row r="741" ht="15.75" customHeight="1">
      <c r="D741" s="158"/>
      <c r="G741" s="158"/>
      <c r="K741" s="276"/>
      <c r="N741" s="276"/>
      <c r="T741" s="277"/>
      <c r="Z741" s="278"/>
    </row>
    <row r="742" ht="15.75" customHeight="1">
      <c r="D742" s="158"/>
      <c r="G742" s="158"/>
      <c r="K742" s="276"/>
      <c r="N742" s="276"/>
      <c r="T742" s="277"/>
      <c r="Z742" s="278"/>
    </row>
    <row r="743" ht="15.75" customHeight="1">
      <c r="D743" s="158"/>
      <c r="G743" s="158"/>
      <c r="K743" s="276"/>
      <c r="N743" s="276"/>
      <c r="T743" s="277"/>
      <c r="Z743" s="278"/>
    </row>
    <row r="744" ht="15.75" customHeight="1">
      <c r="D744" s="158"/>
      <c r="G744" s="158"/>
      <c r="K744" s="276"/>
      <c r="N744" s="276"/>
      <c r="T744" s="277"/>
      <c r="Z744" s="278"/>
    </row>
    <row r="745" ht="15.75" customHeight="1">
      <c r="D745" s="158"/>
      <c r="G745" s="158"/>
      <c r="K745" s="276"/>
      <c r="N745" s="276"/>
      <c r="T745" s="277"/>
      <c r="Z745" s="278"/>
    </row>
    <row r="746" ht="15.75" customHeight="1">
      <c r="D746" s="158"/>
      <c r="G746" s="158"/>
      <c r="K746" s="276"/>
      <c r="N746" s="276"/>
      <c r="T746" s="277"/>
      <c r="Z746" s="278"/>
    </row>
    <row r="747" ht="15.75" customHeight="1">
      <c r="D747" s="158"/>
      <c r="G747" s="158"/>
      <c r="K747" s="276"/>
      <c r="N747" s="276"/>
      <c r="T747" s="277"/>
      <c r="Z747" s="278"/>
    </row>
    <row r="748" ht="15.75" customHeight="1">
      <c r="D748" s="158"/>
      <c r="G748" s="158"/>
      <c r="K748" s="276"/>
      <c r="N748" s="276"/>
      <c r="T748" s="277"/>
      <c r="Z748" s="278"/>
    </row>
    <row r="749" ht="15.75" customHeight="1">
      <c r="D749" s="158"/>
      <c r="G749" s="158"/>
      <c r="K749" s="276"/>
      <c r="N749" s="276"/>
      <c r="T749" s="277"/>
      <c r="Z749" s="278"/>
    </row>
    <row r="750" ht="15.75" customHeight="1">
      <c r="D750" s="158"/>
      <c r="G750" s="158"/>
      <c r="K750" s="276"/>
      <c r="N750" s="276"/>
      <c r="T750" s="277"/>
      <c r="Z750" s="278"/>
    </row>
    <row r="751" ht="15.75" customHeight="1">
      <c r="D751" s="158"/>
      <c r="G751" s="158"/>
      <c r="K751" s="276"/>
      <c r="N751" s="276"/>
      <c r="T751" s="277"/>
      <c r="Z751" s="278"/>
    </row>
    <row r="752" ht="15.75" customHeight="1">
      <c r="D752" s="158"/>
      <c r="G752" s="158"/>
      <c r="K752" s="276"/>
      <c r="N752" s="276"/>
      <c r="T752" s="277"/>
      <c r="Z752" s="278"/>
    </row>
    <row r="753" ht="15.75" customHeight="1">
      <c r="D753" s="158"/>
      <c r="G753" s="158"/>
      <c r="K753" s="276"/>
      <c r="N753" s="276"/>
      <c r="T753" s="277"/>
      <c r="Z753" s="278"/>
    </row>
    <row r="754" ht="15.75" customHeight="1">
      <c r="D754" s="158"/>
      <c r="G754" s="158"/>
      <c r="K754" s="276"/>
      <c r="N754" s="276"/>
      <c r="T754" s="277"/>
      <c r="Z754" s="278"/>
    </row>
    <row r="755" ht="15.75" customHeight="1">
      <c r="D755" s="158"/>
      <c r="G755" s="158"/>
      <c r="K755" s="276"/>
      <c r="N755" s="276"/>
      <c r="T755" s="277"/>
      <c r="Z755" s="278"/>
    </row>
    <row r="756" ht="15.75" customHeight="1">
      <c r="D756" s="158"/>
      <c r="G756" s="158"/>
      <c r="K756" s="276"/>
      <c r="N756" s="276"/>
      <c r="T756" s="277"/>
      <c r="Z756" s="278"/>
    </row>
    <row r="757" ht="15.75" customHeight="1">
      <c r="D757" s="158"/>
      <c r="G757" s="158"/>
      <c r="K757" s="276"/>
      <c r="N757" s="276"/>
      <c r="T757" s="277"/>
      <c r="Z757" s="278"/>
    </row>
    <row r="758" ht="15.75" customHeight="1">
      <c r="D758" s="158"/>
      <c r="G758" s="158"/>
      <c r="K758" s="276"/>
      <c r="N758" s="276"/>
      <c r="T758" s="277"/>
      <c r="Z758" s="278"/>
    </row>
    <row r="759" ht="15.75" customHeight="1">
      <c r="D759" s="158"/>
      <c r="G759" s="158"/>
      <c r="K759" s="276"/>
      <c r="N759" s="276"/>
      <c r="T759" s="277"/>
      <c r="Z759" s="278"/>
    </row>
    <row r="760" ht="15.75" customHeight="1">
      <c r="D760" s="158"/>
      <c r="G760" s="158"/>
      <c r="K760" s="276"/>
      <c r="N760" s="276"/>
      <c r="T760" s="277"/>
      <c r="Z760" s="278"/>
    </row>
    <row r="761" ht="15.75" customHeight="1">
      <c r="D761" s="158"/>
      <c r="G761" s="158"/>
      <c r="K761" s="276"/>
      <c r="N761" s="276"/>
      <c r="T761" s="277"/>
      <c r="Z761" s="278"/>
    </row>
    <row r="762" ht="15.75" customHeight="1">
      <c r="D762" s="158"/>
      <c r="G762" s="158"/>
      <c r="K762" s="276"/>
      <c r="N762" s="276"/>
      <c r="T762" s="277"/>
      <c r="Z762" s="278"/>
    </row>
    <row r="763" ht="15.75" customHeight="1">
      <c r="D763" s="158"/>
      <c r="G763" s="158"/>
      <c r="K763" s="276"/>
      <c r="N763" s="276"/>
      <c r="T763" s="277"/>
      <c r="Z763" s="278"/>
    </row>
    <row r="764" ht="15.75" customHeight="1">
      <c r="D764" s="158"/>
      <c r="G764" s="158"/>
      <c r="K764" s="276"/>
      <c r="N764" s="276"/>
      <c r="T764" s="277"/>
      <c r="Z764" s="278"/>
    </row>
    <row r="765" ht="15.75" customHeight="1">
      <c r="D765" s="158"/>
      <c r="G765" s="158"/>
      <c r="K765" s="276"/>
      <c r="N765" s="276"/>
      <c r="T765" s="277"/>
      <c r="Z765" s="278"/>
    </row>
    <row r="766" ht="15.75" customHeight="1">
      <c r="D766" s="158"/>
      <c r="G766" s="158"/>
      <c r="K766" s="276"/>
      <c r="N766" s="276"/>
      <c r="T766" s="277"/>
      <c r="Z766" s="278"/>
    </row>
    <row r="767" ht="15.75" customHeight="1">
      <c r="D767" s="158"/>
      <c r="G767" s="158"/>
      <c r="K767" s="276"/>
      <c r="N767" s="276"/>
      <c r="T767" s="277"/>
      <c r="Z767" s="278"/>
    </row>
    <row r="768" ht="15.75" customHeight="1">
      <c r="D768" s="158"/>
      <c r="G768" s="158"/>
      <c r="K768" s="276"/>
      <c r="N768" s="276"/>
      <c r="T768" s="277"/>
      <c r="Z768" s="278"/>
    </row>
    <row r="769" ht="15.75" customHeight="1">
      <c r="D769" s="158"/>
      <c r="G769" s="158"/>
      <c r="K769" s="276"/>
      <c r="N769" s="276"/>
      <c r="T769" s="277"/>
      <c r="Z769" s="278"/>
    </row>
    <row r="770" ht="15.75" customHeight="1">
      <c r="D770" s="158"/>
      <c r="G770" s="158"/>
      <c r="K770" s="276"/>
      <c r="N770" s="276"/>
      <c r="T770" s="277"/>
      <c r="Z770" s="278"/>
    </row>
    <row r="771" ht="15.75" customHeight="1">
      <c r="D771" s="158"/>
      <c r="G771" s="158"/>
      <c r="K771" s="276"/>
      <c r="N771" s="276"/>
      <c r="T771" s="277"/>
      <c r="Z771" s="278"/>
    </row>
    <row r="772" ht="15.75" customHeight="1">
      <c r="D772" s="158"/>
      <c r="G772" s="158"/>
      <c r="K772" s="276"/>
      <c r="N772" s="276"/>
      <c r="T772" s="277"/>
      <c r="Z772" s="278"/>
    </row>
    <row r="773" ht="15.75" customHeight="1">
      <c r="D773" s="158"/>
      <c r="G773" s="158"/>
      <c r="K773" s="276"/>
      <c r="N773" s="276"/>
      <c r="T773" s="277"/>
      <c r="Z773" s="278"/>
    </row>
    <row r="774" ht="15.75" customHeight="1">
      <c r="D774" s="158"/>
      <c r="G774" s="158"/>
      <c r="K774" s="276"/>
      <c r="N774" s="276"/>
      <c r="T774" s="277"/>
      <c r="Z774" s="278"/>
    </row>
    <row r="775" ht="15.75" customHeight="1">
      <c r="D775" s="158"/>
      <c r="G775" s="158"/>
      <c r="K775" s="276"/>
      <c r="N775" s="276"/>
      <c r="T775" s="277"/>
      <c r="Z775" s="278"/>
    </row>
    <row r="776" ht="15.75" customHeight="1">
      <c r="D776" s="158"/>
      <c r="G776" s="158"/>
      <c r="K776" s="276"/>
      <c r="N776" s="276"/>
      <c r="T776" s="277"/>
      <c r="Z776" s="278"/>
    </row>
    <row r="777" ht="15.75" customHeight="1">
      <c r="D777" s="158"/>
      <c r="G777" s="158"/>
      <c r="K777" s="276"/>
      <c r="N777" s="276"/>
      <c r="T777" s="277"/>
      <c r="Z777" s="278"/>
    </row>
    <row r="778" ht="15.75" customHeight="1">
      <c r="D778" s="158"/>
      <c r="G778" s="158"/>
      <c r="K778" s="276"/>
      <c r="N778" s="276"/>
      <c r="T778" s="277"/>
      <c r="Z778" s="278"/>
    </row>
    <row r="779" ht="15.75" customHeight="1">
      <c r="D779" s="158"/>
      <c r="G779" s="158"/>
      <c r="K779" s="276"/>
      <c r="N779" s="276"/>
      <c r="T779" s="277"/>
      <c r="Z779" s="278"/>
    </row>
    <row r="780" ht="15.75" customHeight="1">
      <c r="D780" s="158"/>
      <c r="G780" s="158"/>
      <c r="K780" s="276"/>
      <c r="N780" s="276"/>
      <c r="T780" s="277"/>
      <c r="Z780" s="278"/>
    </row>
    <row r="781" ht="15.75" customHeight="1">
      <c r="D781" s="158"/>
      <c r="G781" s="158"/>
      <c r="K781" s="276"/>
      <c r="N781" s="276"/>
      <c r="T781" s="277"/>
      <c r="Z781" s="278"/>
    </row>
    <row r="782" ht="15.75" customHeight="1">
      <c r="D782" s="158"/>
      <c r="G782" s="158"/>
      <c r="K782" s="276"/>
      <c r="N782" s="276"/>
      <c r="T782" s="277"/>
      <c r="Z782" s="278"/>
    </row>
    <row r="783" ht="15.75" customHeight="1">
      <c r="D783" s="158"/>
      <c r="G783" s="158"/>
      <c r="K783" s="276"/>
      <c r="N783" s="276"/>
      <c r="T783" s="277"/>
      <c r="Z783" s="278"/>
    </row>
    <row r="784" ht="15.75" customHeight="1">
      <c r="D784" s="158"/>
      <c r="G784" s="158"/>
      <c r="K784" s="276"/>
      <c r="N784" s="276"/>
      <c r="T784" s="277"/>
      <c r="Z784" s="278"/>
    </row>
    <row r="785" ht="15.75" customHeight="1">
      <c r="D785" s="158"/>
      <c r="G785" s="158"/>
      <c r="K785" s="276"/>
      <c r="N785" s="276"/>
      <c r="T785" s="277"/>
      <c r="Z785" s="278"/>
    </row>
    <row r="786" ht="15.75" customHeight="1">
      <c r="D786" s="158"/>
      <c r="G786" s="158"/>
      <c r="K786" s="276"/>
      <c r="N786" s="276"/>
      <c r="T786" s="277"/>
      <c r="Z786" s="278"/>
    </row>
    <row r="787" ht="15.75" customHeight="1">
      <c r="D787" s="158"/>
      <c r="G787" s="158"/>
      <c r="K787" s="276"/>
      <c r="N787" s="276"/>
      <c r="T787" s="277"/>
      <c r="Z787" s="278"/>
    </row>
    <row r="788" ht="15.75" customHeight="1">
      <c r="D788" s="158"/>
      <c r="G788" s="158"/>
      <c r="K788" s="276"/>
      <c r="N788" s="276"/>
      <c r="T788" s="277"/>
      <c r="Z788" s="278"/>
    </row>
    <row r="789" ht="15.75" customHeight="1">
      <c r="D789" s="158"/>
      <c r="G789" s="158"/>
      <c r="K789" s="276"/>
      <c r="N789" s="276"/>
      <c r="T789" s="277"/>
      <c r="Z789" s="278"/>
    </row>
    <row r="790" ht="15.75" customHeight="1">
      <c r="D790" s="158"/>
      <c r="G790" s="158"/>
      <c r="K790" s="276"/>
      <c r="N790" s="276"/>
      <c r="T790" s="277"/>
      <c r="Z790" s="278"/>
    </row>
    <row r="791" ht="15.75" customHeight="1">
      <c r="D791" s="158"/>
      <c r="G791" s="158"/>
      <c r="K791" s="276"/>
      <c r="N791" s="276"/>
      <c r="T791" s="277"/>
      <c r="Z791" s="278"/>
    </row>
    <row r="792" ht="15.75" customHeight="1">
      <c r="D792" s="158"/>
      <c r="G792" s="158"/>
      <c r="K792" s="276"/>
      <c r="N792" s="276"/>
      <c r="T792" s="277"/>
      <c r="Z792" s="278"/>
    </row>
    <row r="793" ht="15.75" customHeight="1">
      <c r="D793" s="158"/>
      <c r="G793" s="158"/>
      <c r="K793" s="276"/>
      <c r="N793" s="276"/>
      <c r="T793" s="277"/>
      <c r="Z793" s="278"/>
    </row>
    <row r="794" ht="15.75" customHeight="1">
      <c r="D794" s="158"/>
      <c r="G794" s="158"/>
      <c r="K794" s="276"/>
      <c r="N794" s="276"/>
      <c r="T794" s="277"/>
      <c r="Z794" s="278"/>
    </row>
    <row r="795" ht="15.75" customHeight="1">
      <c r="D795" s="158"/>
      <c r="G795" s="158"/>
      <c r="K795" s="276"/>
      <c r="N795" s="276"/>
      <c r="T795" s="277"/>
      <c r="Z795" s="278"/>
    </row>
    <row r="796" ht="15.75" customHeight="1">
      <c r="D796" s="158"/>
      <c r="G796" s="158"/>
      <c r="K796" s="276"/>
      <c r="N796" s="276"/>
      <c r="T796" s="277"/>
      <c r="Z796" s="278"/>
    </row>
    <row r="797" ht="15.75" customHeight="1">
      <c r="D797" s="158"/>
      <c r="G797" s="158"/>
      <c r="K797" s="276"/>
      <c r="N797" s="276"/>
      <c r="T797" s="277"/>
      <c r="Z797" s="278"/>
    </row>
    <row r="798" ht="15.75" customHeight="1">
      <c r="D798" s="158"/>
      <c r="G798" s="158"/>
      <c r="K798" s="276"/>
      <c r="N798" s="276"/>
      <c r="T798" s="277"/>
      <c r="Z798" s="278"/>
    </row>
    <row r="799" ht="15.75" customHeight="1">
      <c r="D799" s="158"/>
      <c r="G799" s="158"/>
      <c r="K799" s="276"/>
      <c r="N799" s="276"/>
      <c r="T799" s="277"/>
      <c r="Z799" s="278"/>
    </row>
    <row r="800" ht="15.75" customHeight="1">
      <c r="D800" s="158"/>
      <c r="G800" s="158"/>
      <c r="K800" s="276"/>
      <c r="N800" s="276"/>
      <c r="T800" s="277"/>
      <c r="Z800" s="278"/>
    </row>
    <row r="801" ht="15.75" customHeight="1">
      <c r="D801" s="158"/>
      <c r="G801" s="158"/>
      <c r="K801" s="276"/>
      <c r="N801" s="276"/>
      <c r="T801" s="277"/>
      <c r="Z801" s="278"/>
    </row>
    <row r="802" ht="15.75" customHeight="1">
      <c r="D802" s="158"/>
      <c r="G802" s="158"/>
      <c r="K802" s="276"/>
      <c r="N802" s="276"/>
      <c r="T802" s="277"/>
      <c r="Z802" s="278"/>
    </row>
    <row r="803" ht="15.75" customHeight="1">
      <c r="D803" s="158"/>
      <c r="G803" s="158"/>
      <c r="K803" s="276"/>
      <c r="N803" s="276"/>
      <c r="T803" s="277"/>
      <c r="Z803" s="278"/>
    </row>
    <row r="804" ht="15.75" customHeight="1">
      <c r="D804" s="158"/>
      <c r="G804" s="158"/>
      <c r="K804" s="276"/>
      <c r="N804" s="276"/>
      <c r="T804" s="277"/>
      <c r="Z804" s="278"/>
    </row>
    <row r="805" ht="15.75" customHeight="1">
      <c r="D805" s="158"/>
      <c r="G805" s="158"/>
      <c r="K805" s="276"/>
      <c r="N805" s="276"/>
      <c r="T805" s="277"/>
      <c r="Z805" s="278"/>
    </row>
    <row r="806" ht="15.75" customHeight="1">
      <c r="D806" s="158"/>
      <c r="G806" s="158"/>
      <c r="K806" s="276"/>
      <c r="N806" s="276"/>
      <c r="T806" s="277"/>
      <c r="Z806" s="278"/>
    </row>
    <row r="807" ht="15.75" customHeight="1">
      <c r="D807" s="158"/>
      <c r="G807" s="158"/>
      <c r="K807" s="276"/>
      <c r="N807" s="276"/>
      <c r="T807" s="277"/>
      <c r="Z807" s="278"/>
    </row>
    <row r="808" ht="15.75" customHeight="1">
      <c r="D808" s="158"/>
      <c r="G808" s="158"/>
      <c r="K808" s="276"/>
      <c r="N808" s="276"/>
      <c r="T808" s="277"/>
      <c r="Z808" s="278"/>
    </row>
    <row r="809" ht="15.75" customHeight="1">
      <c r="D809" s="158"/>
      <c r="G809" s="158"/>
      <c r="K809" s="276"/>
      <c r="N809" s="276"/>
      <c r="T809" s="277"/>
      <c r="Z809" s="278"/>
    </row>
    <row r="810" ht="15.75" customHeight="1">
      <c r="D810" s="158"/>
      <c r="G810" s="158"/>
      <c r="K810" s="276"/>
      <c r="N810" s="276"/>
      <c r="T810" s="277"/>
      <c r="Z810" s="278"/>
    </row>
    <row r="811" ht="15.75" customHeight="1">
      <c r="D811" s="158"/>
      <c r="G811" s="158"/>
      <c r="K811" s="276"/>
      <c r="N811" s="276"/>
      <c r="T811" s="277"/>
      <c r="Z811" s="278"/>
    </row>
    <row r="812" ht="15.75" customHeight="1">
      <c r="D812" s="158"/>
      <c r="G812" s="158"/>
      <c r="K812" s="276"/>
      <c r="N812" s="276"/>
      <c r="T812" s="277"/>
      <c r="Z812" s="278"/>
    </row>
    <row r="813" ht="15.75" customHeight="1">
      <c r="D813" s="158"/>
      <c r="G813" s="158"/>
      <c r="K813" s="276"/>
      <c r="N813" s="276"/>
      <c r="T813" s="277"/>
      <c r="Z813" s="278"/>
    </row>
    <row r="814" ht="15.75" customHeight="1">
      <c r="D814" s="158"/>
      <c r="G814" s="158"/>
      <c r="K814" s="276"/>
      <c r="N814" s="276"/>
      <c r="T814" s="277"/>
      <c r="Z814" s="278"/>
    </row>
    <row r="815" ht="15.75" customHeight="1">
      <c r="D815" s="158"/>
      <c r="G815" s="158"/>
      <c r="K815" s="276"/>
      <c r="N815" s="276"/>
      <c r="T815" s="277"/>
      <c r="Z815" s="278"/>
    </row>
    <row r="816" ht="15.75" customHeight="1">
      <c r="D816" s="158"/>
      <c r="G816" s="158"/>
      <c r="K816" s="276"/>
      <c r="N816" s="276"/>
      <c r="T816" s="277"/>
      <c r="Z816" s="278"/>
    </row>
    <row r="817" ht="15.75" customHeight="1">
      <c r="D817" s="158"/>
      <c r="G817" s="158"/>
      <c r="K817" s="276"/>
      <c r="N817" s="276"/>
      <c r="T817" s="277"/>
      <c r="Z817" s="278"/>
    </row>
    <row r="818" ht="15.75" customHeight="1">
      <c r="D818" s="158"/>
      <c r="G818" s="158"/>
      <c r="K818" s="276"/>
      <c r="N818" s="276"/>
      <c r="T818" s="277"/>
      <c r="Z818" s="278"/>
    </row>
    <row r="819" ht="15.75" customHeight="1">
      <c r="D819" s="158"/>
      <c r="G819" s="158"/>
      <c r="K819" s="276"/>
      <c r="N819" s="276"/>
      <c r="T819" s="277"/>
      <c r="Z819" s="278"/>
    </row>
    <row r="820" ht="15.75" customHeight="1">
      <c r="D820" s="158"/>
      <c r="G820" s="158"/>
      <c r="K820" s="276"/>
      <c r="N820" s="276"/>
      <c r="T820" s="277"/>
      <c r="Z820" s="278"/>
    </row>
    <row r="821" ht="15.75" customHeight="1">
      <c r="D821" s="158"/>
      <c r="G821" s="158"/>
      <c r="K821" s="276"/>
      <c r="N821" s="276"/>
      <c r="T821" s="277"/>
      <c r="Z821" s="278"/>
    </row>
    <row r="822" ht="15.75" customHeight="1">
      <c r="D822" s="158"/>
      <c r="G822" s="158"/>
      <c r="K822" s="276"/>
      <c r="N822" s="276"/>
      <c r="T822" s="277"/>
      <c r="Z822" s="278"/>
    </row>
    <row r="823" ht="15.75" customHeight="1">
      <c r="D823" s="158"/>
      <c r="G823" s="158"/>
      <c r="K823" s="276"/>
      <c r="N823" s="276"/>
      <c r="T823" s="277"/>
      <c r="Z823" s="278"/>
    </row>
    <row r="824" ht="15.75" customHeight="1">
      <c r="D824" s="158"/>
      <c r="G824" s="158"/>
      <c r="K824" s="276"/>
      <c r="N824" s="276"/>
      <c r="T824" s="277"/>
      <c r="Z824" s="278"/>
    </row>
    <row r="825" ht="15.75" customHeight="1">
      <c r="D825" s="158"/>
      <c r="G825" s="158"/>
      <c r="K825" s="276"/>
      <c r="N825" s="276"/>
      <c r="T825" s="277"/>
      <c r="Z825" s="278"/>
    </row>
    <row r="826" ht="15.75" customHeight="1">
      <c r="D826" s="158"/>
      <c r="G826" s="158"/>
      <c r="K826" s="276"/>
      <c r="N826" s="276"/>
      <c r="T826" s="277"/>
      <c r="Z826" s="278"/>
    </row>
    <row r="827" ht="15.75" customHeight="1">
      <c r="D827" s="158"/>
      <c r="G827" s="158"/>
      <c r="K827" s="276"/>
      <c r="N827" s="276"/>
      <c r="T827" s="277"/>
      <c r="Z827" s="278"/>
    </row>
    <row r="828" ht="15.75" customHeight="1">
      <c r="D828" s="158"/>
      <c r="G828" s="158"/>
      <c r="K828" s="276"/>
      <c r="N828" s="276"/>
      <c r="T828" s="277"/>
      <c r="Z828" s="278"/>
    </row>
    <row r="829" ht="15.75" customHeight="1">
      <c r="D829" s="158"/>
      <c r="G829" s="158"/>
      <c r="K829" s="276"/>
      <c r="N829" s="276"/>
      <c r="T829" s="277"/>
      <c r="Z829" s="278"/>
    </row>
    <row r="830" ht="15.75" customHeight="1">
      <c r="D830" s="158"/>
      <c r="G830" s="158"/>
      <c r="K830" s="276"/>
      <c r="N830" s="276"/>
      <c r="T830" s="277"/>
      <c r="Z830" s="278"/>
    </row>
    <row r="831" ht="15.75" customHeight="1">
      <c r="D831" s="158"/>
      <c r="G831" s="158"/>
      <c r="K831" s="276"/>
      <c r="N831" s="276"/>
      <c r="T831" s="277"/>
      <c r="Z831" s="278"/>
    </row>
    <row r="832" ht="15.75" customHeight="1">
      <c r="D832" s="158"/>
      <c r="G832" s="158"/>
      <c r="K832" s="276"/>
      <c r="N832" s="276"/>
      <c r="T832" s="277"/>
      <c r="Z832" s="278"/>
    </row>
    <row r="833" ht="15.75" customHeight="1">
      <c r="D833" s="158"/>
      <c r="G833" s="158"/>
      <c r="K833" s="276"/>
      <c r="N833" s="276"/>
      <c r="T833" s="277"/>
      <c r="Z833" s="278"/>
    </row>
    <row r="834" ht="15.75" customHeight="1">
      <c r="D834" s="158"/>
      <c r="G834" s="158"/>
      <c r="K834" s="276"/>
      <c r="N834" s="276"/>
      <c r="T834" s="277"/>
      <c r="Z834" s="278"/>
    </row>
    <row r="835" ht="15.75" customHeight="1">
      <c r="D835" s="158"/>
      <c r="G835" s="158"/>
      <c r="K835" s="276"/>
      <c r="N835" s="276"/>
      <c r="T835" s="277"/>
      <c r="Z835" s="278"/>
    </row>
    <row r="836" ht="15.75" customHeight="1">
      <c r="D836" s="158"/>
      <c r="G836" s="158"/>
      <c r="K836" s="276"/>
      <c r="N836" s="276"/>
      <c r="T836" s="277"/>
      <c r="Z836" s="278"/>
    </row>
    <row r="837" ht="15.75" customHeight="1">
      <c r="D837" s="158"/>
      <c r="G837" s="158"/>
      <c r="K837" s="276"/>
      <c r="N837" s="276"/>
      <c r="T837" s="277"/>
      <c r="Z837" s="278"/>
    </row>
    <row r="838" ht="15.75" customHeight="1">
      <c r="D838" s="158"/>
      <c r="G838" s="158"/>
      <c r="K838" s="276"/>
      <c r="N838" s="276"/>
      <c r="T838" s="277"/>
      <c r="Z838" s="278"/>
    </row>
    <row r="839" ht="15.75" customHeight="1">
      <c r="D839" s="158"/>
      <c r="G839" s="158"/>
      <c r="K839" s="276"/>
      <c r="N839" s="276"/>
      <c r="T839" s="277"/>
      <c r="Z839" s="278"/>
    </row>
    <row r="840" ht="15.75" customHeight="1">
      <c r="D840" s="158"/>
      <c r="G840" s="158"/>
      <c r="K840" s="276"/>
      <c r="N840" s="276"/>
      <c r="T840" s="277"/>
      <c r="Z840" s="278"/>
    </row>
    <row r="841" ht="15.75" customHeight="1">
      <c r="D841" s="158"/>
      <c r="G841" s="158"/>
      <c r="K841" s="276"/>
      <c r="N841" s="276"/>
      <c r="T841" s="277"/>
      <c r="Z841" s="278"/>
    </row>
    <row r="842" ht="15.75" customHeight="1">
      <c r="D842" s="158"/>
      <c r="G842" s="158"/>
      <c r="K842" s="276"/>
      <c r="N842" s="276"/>
      <c r="T842" s="277"/>
      <c r="Z842" s="278"/>
    </row>
    <row r="843" ht="15.75" customHeight="1">
      <c r="D843" s="158"/>
      <c r="G843" s="158"/>
      <c r="K843" s="276"/>
      <c r="N843" s="276"/>
      <c r="T843" s="277"/>
      <c r="Z843" s="278"/>
    </row>
    <row r="844" ht="15.75" customHeight="1">
      <c r="D844" s="158"/>
      <c r="G844" s="158"/>
      <c r="K844" s="276"/>
      <c r="N844" s="276"/>
      <c r="T844" s="277"/>
      <c r="Z844" s="278"/>
    </row>
    <row r="845" ht="15.75" customHeight="1">
      <c r="D845" s="158"/>
      <c r="G845" s="158"/>
      <c r="K845" s="276"/>
      <c r="N845" s="276"/>
      <c r="T845" s="277"/>
      <c r="Z845" s="278"/>
    </row>
    <row r="846" ht="15.75" customHeight="1">
      <c r="D846" s="158"/>
      <c r="G846" s="158"/>
      <c r="K846" s="276"/>
      <c r="N846" s="276"/>
      <c r="T846" s="277"/>
      <c r="Z846" s="278"/>
    </row>
    <row r="847" ht="15.75" customHeight="1">
      <c r="D847" s="158"/>
      <c r="G847" s="158"/>
      <c r="K847" s="276"/>
      <c r="N847" s="276"/>
      <c r="T847" s="277"/>
      <c r="Z847" s="278"/>
    </row>
    <row r="848" ht="15.75" customHeight="1">
      <c r="D848" s="158"/>
      <c r="G848" s="158"/>
      <c r="K848" s="276"/>
      <c r="N848" s="276"/>
      <c r="T848" s="277"/>
      <c r="Z848" s="278"/>
    </row>
    <row r="849" ht="15.75" customHeight="1">
      <c r="D849" s="158"/>
      <c r="G849" s="158"/>
      <c r="K849" s="276"/>
      <c r="N849" s="276"/>
      <c r="T849" s="277"/>
      <c r="Z849" s="278"/>
    </row>
    <row r="850" ht="15.75" customHeight="1">
      <c r="D850" s="158"/>
      <c r="G850" s="158"/>
      <c r="K850" s="276"/>
      <c r="N850" s="276"/>
      <c r="T850" s="277"/>
      <c r="Z850" s="278"/>
    </row>
    <row r="851" ht="15.75" customHeight="1">
      <c r="D851" s="158"/>
      <c r="G851" s="158"/>
      <c r="K851" s="276"/>
      <c r="N851" s="276"/>
      <c r="T851" s="277"/>
      <c r="Z851" s="278"/>
    </row>
    <row r="852" ht="15.75" customHeight="1">
      <c r="D852" s="158"/>
      <c r="G852" s="158"/>
      <c r="K852" s="276"/>
      <c r="N852" s="276"/>
      <c r="T852" s="277"/>
      <c r="Z852" s="278"/>
    </row>
    <row r="853" ht="15.75" customHeight="1">
      <c r="D853" s="158"/>
      <c r="G853" s="158"/>
      <c r="K853" s="276"/>
      <c r="N853" s="276"/>
      <c r="T853" s="277"/>
      <c r="Z853" s="278"/>
    </row>
    <row r="854" ht="15.75" customHeight="1">
      <c r="D854" s="158"/>
      <c r="G854" s="158"/>
      <c r="K854" s="276"/>
      <c r="N854" s="276"/>
      <c r="T854" s="277"/>
      <c r="Z854" s="278"/>
    </row>
    <row r="855" ht="15.75" customHeight="1">
      <c r="D855" s="158"/>
      <c r="G855" s="158"/>
      <c r="K855" s="276"/>
      <c r="N855" s="276"/>
      <c r="T855" s="277"/>
      <c r="Z855" s="278"/>
    </row>
    <row r="856" ht="15.75" customHeight="1">
      <c r="D856" s="158"/>
      <c r="G856" s="158"/>
      <c r="K856" s="276"/>
      <c r="N856" s="276"/>
      <c r="T856" s="277"/>
      <c r="Z856" s="278"/>
    </row>
    <row r="857" ht="15.75" customHeight="1">
      <c r="D857" s="158"/>
      <c r="G857" s="158"/>
      <c r="K857" s="276"/>
      <c r="N857" s="276"/>
      <c r="T857" s="277"/>
      <c r="Z857" s="278"/>
    </row>
    <row r="858" ht="15.75" customHeight="1">
      <c r="D858" s="158"/>
      <c r="G858" s="158"/>
      <c r="K858" s="276"/>
      <c r="N858" s="276"/>
      <c r="T858" s="277"/>
      <c r="Z858" s="278"/>
    </row>
    <row r="859" ht="15.75" customHeight="1">
      <c r="D859" s="158"/>
      <c r="G859" s="158"/>
      <c r="K859" s="276"/>
      <c r="N859" s="276"/>
      <c r="T859" s="277"/>
      <c r="Z859" s="278"/>
    </row>
    <row r="860" ht="15.75" customHeight="1">
      <c r="D860" s="158"/>
      <c r="G860" s="158"/>
      <c r="K860" s="276"/>
      <c r="N860" s="276"/>
      <c r="T860" s="277"/>
      <c r="Z860" s="278"/>
    </row>
    <row r="861" ht="15.75" customHeight="1">
      <c r="D861" s="158"/>
      <c r="G861" s="158"/>
      <c r="K861" s="276"/>
      <c r="N861" s="276"/>
      <c r="T861" s="277"/>
      <c r="Z861" s="278"/>
    </row>
    <row r="862" ht="15.75" customHeight="1">
      <c r="D862" s="158"/>
      <c r="G862" s="158"/>
      <c r="K862" s="276"/>
      <c r="N862" s="276"/>
      <c r="T862" s="277"/>
      <c r="Z862" s="278"/>
    </row>
    <row r="863" ht="15.75" customHeight="1">
      <c r="D863" s="158"/>
      <c r="G863" s="158"/>
      <c r="K863" s="276"/>
      <c r="N863" s="276"/>
      <c r="T863" s="277"/>
      <c r="Z863" s="278"/>
    </row>
    <row r="864" ht="15.75" customHeight="1">
      <c r="D864" s="158"/>
      <c r="G864" s="158"/>
      <c r="K864" s="276"/>
      <c r="N864" s="276"/>
      <c r="T864" s="277"/>
      <c r="Z864" s="278"/>
    </row>
    <row r="865" ht="15.75" customHeight="1">
      <c r="D865" s="158"/>
      <c r="G865" s="158"/>
      <c r="K865" s="276"/>
      <c r="N865" s="276"/>
      <c r="T865" s="277"/>
      <c r="Z865" s="278"/>
    </row>
    <row r="866" ht="15.75" customHeight="1">
      <c r="D866" s="158"/>
      <c r="G866" s="158"/>
      <c r="K866" s="276"/>
      <c r="N866" s="276"/>
      <c r="T866" s="277"/>
      <c r="Z866" s="278"/>
    </row>
    <row r="867" ht="15.75" customHeight="1">
      <c r="D867" s="158"/>
      <c r="G867" s="158"/>
      <c r="K867" s="276"/>
      <c r="N867" s="276"/>
      <c r="T867" s="277"/>
      <c r="Z867" s="278"/>
    </row>
    <row r="868" ht="15.75" customHeight="1">
      <c r="D868" s="158"/>
      <c r="G868" s="158"/>
      <c r="K868" s="276"/>
      <c r="N868" s="276"/>
      <c r="T868" s="277"/>
      <c r="Z868" s="278"/>
    </row>
    <row r="869" ht="15.75" customHeight="1">
      <c r="D869" s="158"/>
      <c r="G869" s="158"/>
      <c r="K869" s="276"/>
      <c r="N869" s="276"/>
      <c r="T869" s="277"/>
      <c r="Z869" s="278"/>
    </row>
    <row r="870" ht="15.75" customHeight="1">
      <c r="D870" s="158"/>
      <c r="G870" s="158"/>
      <c r="K870" s="276"/>
      <c r="N870" s="276"/>
      <c r="T870" s="277"/>
      <c r="Z870" s="278"/>
    </row>
    <row r="871" ht="15.75" customHeight="1">
      <c r="D871" s="158"/>
      <c r="G871" s="158"/>
      <c r="K871" s="276"/>
      <c r="N871" s="276"/>
      <c r="T871" s="277"/>
      <c r="Z871" s="278"/>
    </row>
    <row r="872" ht="15.75" customHeight="1">
      <c r="D872" s="158"/>
      <c r="G872" s="158"/>
      <c r="K872" s="276"/>
      <c r="N872" s="276"/>
      <c r="T872" s="277"/>
      <c r="Z872" s="278"/>
    </row>
    <row r="873" ht="15.75" customHeight="1">
      <c r="D873" s="158"/>
      <c r="G873" s="158"/>
      <c r="K873" s="276"/>
      <c r="N873" s="276"/>
      <c r="T873" s="277"/>
      <c r="Z873" s="278"/>
    </row>
    <row r="874" ht="15.75" customHeight="1">
      <c r="D874" s="158"/>
      <c r="G874" s="158"/>
      <c r="K874" s="276"/>
      <c r="N874" s="276"/>
      <c r="T874" s="277"/>
      <c r="Z874" s="278"/>
    </row>
    <row r="875" ht="15.75" customHeight="1">
      <c r="D875" s="158"/>
      <c r="G875" s="158"/>
      <c r="K875" s="276"/>
      <c r="N875" s="276"/>
      <c r="T875" s="277"/>
      <c r="Z875" s="278"/>
    </row>
    <row r="876" ht="15.75" customHeight="1">
      <c r="D876" s="158"/>
      <c r="G876" s="158"/>
      <c r="K876" s="276"/>
      <c r="N876" s="276"/>
      <c r="T876" s="277"/>
      <c r="Z876" s="278"/>
    </row>
    <row r="877" ht="15.75" customHeight="1">
      <c r="D877" s="158"/>
      <c r="G877" s="158"/>
      <c r="K877" s="276"/>
      <c r="N877" s="276"/>
      <c r="T877" s="277"/>
      <c r="Z877" s="278"/>
    </row>
    <row r="878" ht="15.75" customHeight="1">
      <c r="D878" s="158"/>
      <c r="G878" s="158"/>
      <c r="K878" s="276"/>
      <c r="N878" s="276"/>
      <c r="T878" s="277"/>
      <c r="Z878" s="278"/>
    </row>
    <row r="879" ht="15.75" customHeight="1">
      <c r="D879" s="158"/>
      <c r="G879" s="158"/>
      <c r="K879" s="276"/>
      <c r="N879" s="276"/>
      <c r="T879" s="277"/>
      <c r="Z879" s="278"/>
    </row>
    <row r="880" ht="15.75" customHeight="1">
      <c r="D880" s="158"/>
      <c r="G880" s="158"/>
      <c r="K880" s="276"/>
      <c r="N880" s="276"/>
      <c r="T880" s="277"/>
      <c r="Z880" s="278"/>
    </row>
    <row r="881" ht="15.75" customHeight="1">
      <c r="D881" s="158"/>
      <c r="G881" s="158"/>
      <c r="K881" s="276"/>
      <c r="N881" s="276"/>
      <c r="T881" s="277"/>
      <c r="Z881" s="278"/>
    </row>
    <row r="882" ht="15.75" customHeight="1">
      <c r="D882" s="158"/>
      <c r="G882" s="158"/>
      <c r="K882" s="276"/>
      <c r="N882" s="276"/>
      <c r="T882" s="277"/>
      <c r="Z882" s="278"/>
    </row>
    <row r="883" ht="15.75" customHeight="1">
      <c r="D883" s="158"/>
      <c r="G883" s="158"/>
      <c r="K883" s="276"/>
      <c r="N883" s="276"/>
      <c r="T883" s="277"/>
      <c r="Z883" s="278"/>
    </row>
    <row r="884" ht="15.75" customHeight="1">
      <c r="D884" s="158"/>
      <c r="G884" s="158"/>
      <c r="K884" s="276"/>
      <c r="N884" s="276"/>
      <c r="T884" s="277"/>
      <c r="Z884" s="278"/>
    </row>
    <row r="885" ht="15.75" customHeight="1">
      <c r="D885" s="158"/>
      <c r="G885" s="158"/>
      <c r="K885" s="276"/>
      <c r="N885" s="276"/>
      <c r="T885" s="277"/>
      <c r="Z885" s="278"/>
    </row>
    <row r="886" ht="15.75" customHeight="1">
      <c r="D886" s="158"/>
      <c r="G886" s="158"/>
      <c r="K886" s="276"/>
      <c r="N886" s="276"/>
      <c r="T886" s="277"/>
      <c r="Z886" s="278"/>
    </row>
    <row r="887" ht="15.75" customHeight="1">
      <c r="D887" s="158"/>
      <c r="G887" s="158"/>
      <c r="K887" s="276"/>
      <c r="N887" s="276"/>
      <c r="T887" s="277"/>
      <c r="Z887" s="278"/>
    </row>
    <row r="888" ht="15.75" customHeight="1">
      <c r="D888" s="158"/>
      <c r="G888" s="158"/>
      <c r="K888" s="276"/>
      <c r="N888" s="276"/>
      <c r="T888" s="277"/>
      <c r="Z888" s="278"/>
    </row>
    <row r="889" ht="15.75" customHeight="1">
      <c r="D889" s="158"/>
      <c r="G889" s="158"/>
      <c r="K889" s="276"/>
      <c r="N889" s="276"/>
      <c r="T889" s="277"/>
      <c r="Z889" s="278"/>
    </row>
    <row r="890" ht="15.75" customHeight="1">
      <c r="D890" s="158"/>
      <c r="G890" s="158"/>
      <c r="K890" s="276"/>
      <c r="N890" s="276"/>
      <c r="T890" s="277"/>
      <c r="Z890" s="278"/>
    </row>
    <row r="891" ht="15.75" customHeight="1">
      <c r="D891" s="158"/>
      <c r="G891" s="158"/>
      <c r="K891" s="276"/>
      <c r="N891" s="276"/>
      <c r="T891" s="277"/>
      <c r="Z891" s="278"/>
    </row>
    <row r="892" ht="15.75" customHeight="1">
      <c r="D892" s="158"/>
      <c r="G892" s="158"/>
      <c r="K892" s="276"/>
      <c r="N892" s="276"/>
      <c r="T892" s="277"/>
      <c r="Z892" s="278"/>
    </row>
    <row r="893" ht="15.75" customHeight="1">
      <c r="D893" s="158"/>
      <c r="G893" s="158"/>
      <c r="K893" s="276"/>
      <c r="N893" s="276"/>
      <c r="T893" s="277"/>
      <c r="Z893" s="278"/>
    </row>
    <row r="894" ht="15.75" customHeight="1">
      <c r="D894" s="158"/>
      <c r="G894" s="158"/>
      <c r="K894" s="276"/>
      <c r="N894" s="276"/>
      <c r="T894" s="277"/>
      <c r="Z894" s="278"/>
    </row>
    <row r="895" ht="15.75" customHeight="1">
      <c r="D895" s="158"/>
      <c r="G895" s="158"/>
      <c r="K895" s="276"/>
      <c r="N895" s="276"/>
      <c r="T895" s="277"/>
      <c r="Z895" s="278"/>
    </row>
    <row r="896" ht="15.75" customHeight="1">
      <c r="D896" s="158"/>
      <c r="G896" s="158"/>
      <c r="K896" s="276"/>
      <c r="N896" s="276"/>
      <c r="T896" s="277"/>
      <c r="Z896" s="278"/>
    </row>
    <row r="897" ht="15.75" customHeight="1">
      <c r="D897" s="158"/>
      <c r="G897" s="158"/>
      <c r="K897" s="276"/>
      <c r="N897" s="276"/>
      <c r="T897" s="277"/>
      <c r="Z897" s="278"/>
    </row>
    <row r="898" ht="15.75" customHeight="1">
      <c r="D898" s="158"/>
      <c r="G898" s="158"/>
      <c r="K898" s="276"/>
      <c r="N898" s="276"/>
      <c r="T898" s="277"/>
      <c r="Z898" s="278"/>
    </row>
    <row r="899" ht="15.75" customHeight="1">
      <c r="D899" s="158"/>
      <c r="G899" s="158"/>
      <c r="K899" s="276"/>
      <c r="N899" s="276"/>
      <c r="T899" s="277"/>
      <c r="Z899" s="278"/>
    </row>
    <row r="900" ht="15.75" customHeight="1">
      <c r="D900" s="158"/>
      <c r="G900" s="158"/>
      <c r="K900" s="276"/>
      <c r="N900" s="276"/>
      <c r="T900" s="277"/>
      <c r="Z900" s="278"/>
    </row>
    <row r="901" ht="15.75" customHeight="1">
      <c r="D901" s="158"/>
      <c r="G901" s="158"/>
      <c r="K901" s="276"/>
      <c r="N901" s="276"/>
      <c r="T901" s="277"/>
      <c r="Z901" s="278"/>
    </row>
    <row r="902" ht="15.75" customHeight="1">
      <c r="D902" s="158"/>
      <c r="G902" s="158"/>
      <c r="K902" s="276"/>
      <c r="N902" s="276"/>
      <c r="T902" s="277"/>
      <c r="Z902" s="278"/>
    </row>
    <row r="903" ht="15.75" customHeight="1">
      <c r="D903" s="158"/>
      <c r="G903" s="158"/>
      <c r="K903" s="276"/>
      <c r="N903" s="276"/>
      <c r="T903" s="277"/>
      <c r="Z903" s="278"/>
    </row>
    <row r="904" ht="15.75" customHeight="1">
      <c r="D904" s="158"/>
      <c r="G904" s="158"/>
      <c r="K904" s="276"/>
      <c r="N904" s="276"/>
      <c r="T904" s="277"/>
      <c r="Z904" s="278"/>
    </row>
    <row r="905" ht="15.75" customHeight="1">
      <c r="D905" s="158"/>
      <c r="G905" s="158"/>
      <c r="K905" s="276"/>
      <c r="N905" s="276"/>
      <c r="T905" s="277"/>
      <c r="Z905" s="278"/>
    </row>
    <row r="906" ht="15.75" customHeight="1">
      <c r="D906" s="158"/>
      <c r="G906" s="158"/>
      <c r="K906" s="276"/>
      <c r="N906" s="276"/>
      <c r="T906" s="277"/>
      <c r="Z906" s="278"/>
    </row>
    <row r="907" ht="15.75" customHeight="1">
      <c r="D907" s="158"/>
      <c r="G907" s="158"/>
      <c r="K907" s="276"/>
      <c r="N907" s="276"/>
      <c r="T907" s="277"/>
      <c r="Z907" s="278"/>
    </row>
    <row r="908" ht="15.75" customHeight="1">
      <c r="D908" s="158"/>
      <c r="G908" s="158"/>
      <c r="K908" s="276"/>
      <c r="N908" s="276"/>
      <c r="T908" s="277"/>
      <c r="Z908" s="278"/>
    </row>
    <row r="909" ht="15.75" customHeight="1">
      <c r="D909" s="158"/>
      <c r="G909" s="158"/>
      <c r="K909" s="276"/>
      <c r="N909" s="276"/>
      <c r="T909" s="277"/>
      <c r="Z909" s="278"/>
    </row>
    <row r="910" ht="15.75" customHeight="1">
      <c r="D910" s="158"/>
      <c r="G910" s="158"/>
      <c r="K910" s="276"/>
      <c r="N910" s="276"/>
      <c r="T910" s="277"/>
      <c r="Z910" s="278"/>
    </row>
    <row r="911" ht="15.75" customHeight="1">
      <c r="D911" s="158"/>
      <c r="G911" s="158"/>
      <c r="K911" s="276"/>
      <c r="N911" s="276"/>
      <c r="T911" s="277"/>
      <c r="Z911" s="278"/>
    </row>
    <row r="912" ht="15.75" customHeight="1">
      <c r="D912" s="158"/>
      <c r="G912" s="158"/>
      <c r="K912" s="276"/>
      <c r="N912" s="276"/>
      <c r="T912" s="277"/>
      <c r="Z912" s="278"/>
    </row>
    <row r="913" ht="15.75" customHeight="1">
      <c r="D913" s="158"/>
      <c r="G913" s="158"/>
      <c r="K913" s="276"/>
      <c r="N913" s="276"/>
      <c r="T913" s="277"/>
      <c r="Z913" s="278"/>
    </row>
    <row r="914" ht="15.75" customHeight="1">
      <c r="D914" s="158"/>
      <c r="G914" s="158"/>
      <c r="K914" s="276"/>
      <c r="N914" s="276"/>
      <c r="T914" s="277"/>
      <c r="Z914" s="278"/>
    </row>
    <row r="915" ht="15.75" customHeight="1">
      <c r="D915" s="158"/>
      <c r="G915" s="158"/>
      <c r="K915" s="276"/>
      <c r="N915" s="276"/>
      <c r="T915" s="277"/>
      <c r="Z915" s="278"/>
    </row>
    <row r="916" ht="15.75" customHeight="1">
      <c r="D916" s="158"/>
      <c r="G916" s="158"/>
      <c r="K916" s="276"/>
      <c r="N916" s="276"/>
      <c r="T916" s="277"/>
      <c r="Z916" s="278"/>
    </row>
    <row r="917" ht="15.75" customHeight="1">
      <c r="D917" s="158"/>
      <c r="G917" s="158"/>
      <c r="K917" s="276"/>
      <c r="N917" s="276"/>
      <c r="T917" s="277"/>
      <c r="Z917" s="278"/>
    </row>
    <row r="918" ht="15.75" customHeight="1">
      <c r="D918" s="158"/>
      <c r="G918" s="158"/>
      <c r="K918" s="276"/>
      <c r="N918" s="276"/>
      <c r="T918" s="277"/>
      <c r="Z918" s="278"/>
    </row>
    <row r="919" ht="15.75" customHeight="1">
      <c r="D919" s="158"/>
      <c r="G919" s="158"/>
      <c r="K919" s="276"/>
      <c r="N919" s="276"/>
      <c r="T919" s="277"/>
      <c r="Z919" s="278"/>
    </row>
    <row r="920" ht="15.75" customHeight="1">
      <c r="D920" s="158"/>
      <c r="G920" s="158"/>
      <c r="K920" s="276"/>
      <c r="N920" s="276"/>
      <c r="T920" s="277"/>
      <c r="Z920" s="278"/>
    </row>
    <row r="921" ht="15.75" customHeight="1">
      <c r="D921" s="158"/>
      <c r="G921" s="158"/>
      <c r="K921" s="276"/>
      <c r="N921" s="276"/>
      <c r="T921" s="277"/>
      <c r="Z921" s="278"/>
    </row>
    <row r="922" ht="15.75" customHeight="1">
      <c r="D922" s="158"/>
      <c r="G922" s="158"/>
      <c r="K922" s="276"/>
      <c r="N922" s="276"/>
      <c r="T922" s="277"/>
      <c r="Z922" s="278"/>
    </row>
    <row r="923" ht="15.75" customHeight="1">
      <c r="D923" s="158"/>
      <c r="G923" s="158"/>
      <c r="K923" s="276"/>
      <c r="N923" s="276"/>
      <c r="T923" s="277"/>
      <c r="Z923" s="278"/>
    </row>
    <row r="924" ht="15.75" customHeight="1">
      <c r="D924" s="158"/>
      <c r="G924" s="158"/>
      <c r="K924" s="276"/>
      <c r="N924" s="276"/>
      <c r="T924" s="277"/>
      <c r="Z924" s="278"/>
    </row>
    <row r="925" ht="15.75" customHeight="1">
      <c r="D925" s="158"/>
      <c r="G925" s="158"/>
      <c r="K925" s="276"/>
      <c r="N925" s="276"/>
      <c r="T925" s="277"/>
      <c r="Z925" s="278"/>
    </row>
    <row r="926" ht="15.75" customHeight="1">
      <c r="D926" s="158"/>
      <c r="G926" s="158"/>
      <c r="K926" s="276"/>
      <c r="N926" s="276"/>
      <c r="T926" s="277"/>
      <c r="Z926" s="278"/>
    </row>
    <row r="927" ht="15.75" customHeight="1">
      <c r="D927" s="158"/>
      <c r="G927" s="158"/>
      <c r="K927" s="276"/>
      <c r="N927" s="276"/>
      <c r="T927" s="277"/>
      <c r="Z927" s="278"/>
    </row>
    <row r="928" ht="15.75" customHeight="1">
      <c r="D928" s="158"/>
      <c r="G928" s="158"/>
      <c r="K928" s="276"/>
      <c r="N928" s="276"/>
      <c r="T928" s="277"/>
      <c r="Z928" s="278"/>
    </row>
    <row r="929" ht="15.75" customHeight="1">
      <c r="D929" s="158"/>
      <c r="G929" s="158"/>
      <c r="K929" s="276"/>
      <c r="N929" s="276"/>
      <c r="T929" s="277"/>
      <c r="Z929" s="278"/>
    </row>
    <row r="930" ht="15.75" customHeight="1">
      <c r="D930" s="158"/>
      <c r="G930" s="158"/>
      <c r="K930" s="276"/>
      <c r="N930" s="276"/>
      <c r="T930" s="277"/>
      <c r="Z930" s="278"/>
    </row>
    <row r="931" ht="15.75" customHeight="1">
      <c r="D931" s="158"/>
      <c r="G931" s="158"/>
      <c r="K931" s="276"/>
      <c r="N931" s="276"/>
      <c r="T931" s="277"/>
      <c r="Z931" s="278"/>
    </row>
    <row r="932" ht="15.75" customHeight="1">
      <c r="D932" s="158"/>
      <c r="G932" s="158"/>
      <c r="K932" s="276"/>
      <c r="N932" s="276"/>
      <c r="T932" s="277"/>
      <c r="Z932" s="278"/>
    </row>
    <row r="933" ht="15.75" customHeight="1">
      <c r="D933" s="158"/>
      <c r="G933" s="158"/>
      <c r="K933" s="276"/>
      <c r="N933" s="276"/>
      <c r="T933" s="277"/>
      <c r="Z933" s="278"/>
    </row>
    <row r="934" ht="15.75" customHeight="1">
      <c r="D934" s="158"/>
      <c r="G934" s="158"/>
      <c r="K934" s="276"/>
      <c r="N934" s="276"/>
      <c r="T934" s="277"/>
      <c r="Z934" s="278"/>
    </row>
    <row r="935" ht="15.75" customHeight="1">
      <c r="D935" s="158"/>
      <c r="G935" s="158"/>
      <c r="K935" s="276"/>
      <c r="N935" s="276"/>
      <c r="T935" s="277"/>
      <c r="Z935" s="278"/>
    </row>
    <row r="936" ht="15.75" customHeight="1">
      <c r="D936" s="158"/>
      <c r="G936" s="158"/>
      <c r="K936" s="276"/>
      <c r="N936" s="276"/>
      <c r="T936" s="277"/>
      <c r="Z936" s="278"/>
    </row>
    <row r="937" ht="15.75" customHeight="1">
      <c r="D937" s="158"/>
      <c r="G937" s="158"/>
      <c r="K937" s="276"/>
      <c r="N937" s="276"/>
      <c r="T937" s="277"/>
      <c r="Z937" s="278"/>
    </row>
    <row r="938" ht="15.75" customHeight="1">
      <c r="D938" s="158"/>
      <c r="G938" s="158"/>
      <c r="K938" s="276"/>
      <c r="N938" s="276"/>
      <c r="T938" s="277"/>
      <c r="Z938" s="278"/>
    </row>
    <row r="939" ht="15.75" customHeight="1">
      <c r="D939" s="158"/>
      <c r="G939" s="158"/>
      <c r="K939" s="276"/>
      <c r="N939" s="276"/>
      <c r="T939" s="277"/>
      <c r="Z939" s="278"/>
    </row>
    <row r="940" ht="15.75" customHeight="1">
      <c r="D940" s="158"/>
      <c r="G940" s="158"/>
      <c r="K940" s="276"/>
      <c r="N940" s="276"/>
      <c r="T940" s="277"/>
      <c r="Z940" s="278"/>
    </row>
    <row r="941" ht="15.75" customHeight="1">
      <c r="D941" s="158"/>
      <c r="G941" s="158"/>
      <c r="K941" s="276"/>
      <c r="N941" s="276"/>
      <c r="T941" s="277"/>
      <c r="Z941" s="278"/>
    </row>
    <row r="942" ht="15.75" customHeight="1">
      <c r="D942" s="158"/>
      <c r="G942" s="158"/>
      <c r="K942" s="276"/>
      <c r="N942" s="276"/>
      <c r="T942" s="277"/>
      <c r="Z942" s="278"/>
    </row>
    <row r="943" ht="15.75" customHeight="1">
      <c r="D943" s="158"/>
      <c r="G943" s="158"/>
      <c r="K943" s="276"/>
      <c r="N943" s="276"/>
      <c r="T943" s="277"/>
      <c r="Z943" s="278"/>
    </row>
    <row r="944" ht="15.75" customHeight="1">
      <c r="D944" s="158"/>
      <c r="G944" s="158"/>
      <c r="K944" s="276"/>
      <c r="N944" s="276"/>
      <c r="T944" s="277"/>
      <c r="Z944" s="278"/>
    </row>
    <row r="945" ht="15.75" customHeight="1">
      <c r="D945" s="158"/>
      <c r="G945" s="158"/>
      <c r="K945" s="276"/>
      <c r="N945" s="276"/>
      <c r="T945" s="277"/>
      <c r="Z945" s="278"/>
    </row>
    <row r="946" ht="15.75" customHeight="1">
      <c r="D946" s="158"/>
      <c r="G946" s="158"/>
      <c r="K946" s="276"/>
      <c r="N946" s="276"/>
      <c r="T946" s="277"/>
      <c r="Z946" s="278"/>
    </row>
    <row r="947" ht="15.75" customHeight="1">
      <c r="D947" s="158"/>
      <c r="G947" s="158"/>
      <c r="K947" s="276"/>
      <c r="N947" s="276"/>
      <c r="T947" s="277"/>
      <c r="Z947" s="278"/>
    </row>
    <row r="948" ht="15.75" customHeight="1">
      <c r="D948" s="158"/>
      <c r="G948" s="158"/>
      <c r="K948" s="276"/>
      <c r="N948" s="276"/>
      <c r="T948" s="277"/>
      <c r="Z948" s="278"/>
    </row>
    <row r="949" ht="15.75" customHeight="1">
      <c r="D949" s="158"/>
      <c r="G949" s="158"/>
      <c r="K949" s="276"/>
      <c r="N949" s="276"/>
      <c r="T949" s="277"/>
      <c r="Z949" s="278"/>
    </row>
    <row r="950" ht="15.75" customHeight="1">
      <c r="D950" s="158"/>
      <c r="G950" s="158"/>
      <c r="K950" s="276"/>
      <c r="N950" s="276"/>
      <c r="T950" s="277"/>
      <c r="Z950" s="278"/>
    </row>
    <row r="951" ht="15.75" customHeight="1">
      <c r="D951" s="158"/>
      <c r="G951" s="158"/>
      <c r="K951" s="276"/>
      <c r="N951" s="276"/>
      <c r="T951" s="277"/>
      <c r="Z951" s="278"/>
    </row>
    <row r="952" ht="15.75" customHeight="1">
      <c r="D952" s="158"/>
      <c r="G952" s="158"/>
      <c r="K952" s="276"/>
      <c r="N952" s="276"/>
      <c r="T952" s="277"/>
      <c r="Z952" s="278"/>
    </row>
    <row r="953" ht="15.75" customHeight="1">
      <c r="D953" s="158"/>
      <c r="G953" s="158"/>
      <c r="K953" s="276"/>
      <c r="N953" s="276"/>
      <c r="T953" s="277"/>
      <c r="Z953" s="278"/>
    </row>
    <row r="954" ht="15.75" customHeight="1">
      <c r="D954" s="158"/>
      <c r="G954" s="158"/>
      <c r="K954" s="276"/>
      <c r="N954" s="276"/>
      <c r="T954" s="277"/>
      <c r="Z954" s="278"/>
    </row>
    <row r="955" ht="15.75" customHeight="1">
      <c r="D955" s="158"/>
      <c r="G955" s="158"/>
      <c r="K955" s="276"/>
      <c r="N955" s="276"/>
      <c r="T955" s="277"/>
      <c r="Z955" s="278"/>
    </row>
    <row r="956" ht="15.75" customHeight="1">
      <c r="D956" s="158"/>
      <c r="G956" s="158"/>
      <c r="K956" s="276"/>
      <c r="N956" s="276"/>
      <c r="T956" s="277"/>
      <c r="Z956" s="278"/>
    </row>
    <row r="957" ht="15.75" customHeight="1">
      <c r="D957" s="158"/>
      <c r="G957" s="158"/>
      <c r="K957" s="276"/>
      <c r="N957" s="276"/>
      <c r="T957" s="277"/>
      <c r="Z957" s="278"/>
    </row>
    <row r="958" ht="15.75" customHeight="1">
      <c r="D958" s="158"/>
      <c r="G958" s="158"/>
      <c r="K958" s="276"/>
      <c r="N958" s="276"/>
      <c r="T958" s="277"/>
      <c r="Z958" s="278"/>
    </row>
    <row r="959" ht="15.75" customHeight="1">
      <c r="D959" s="158"/>
      <c r="G959" s="158"/>
      <c r="K959" s="276"/>
      <c r="N959" s="276"/>
      <c r="T959" s="277"/>
      <c r="Z959" s="278"/>
    </row>
    <row r="960" ht="15.75" customHeight="1">
      <c r="D960" s="158"/>
      <c r="G960" s="158"/>
      <c r="K960" s="276"/>
      <c r="N960" s="276"/>
      <c r="T960" s="277"/>
      <c r="Z960" s="278"/>
    </row>
    <row r="961" ht="15.75" customHeight="1">
      <c r="D961" s="158"/>
      <c r="G961" s="158"/>
      <c r="K961" s="276"/>
      <c r="N961" s="276"/>
      <c r="T961" s="277"/>
      <c r="Z961" s="278"/>
    </row>
    <row r="962" ht="15.75" customHeight="1">
      <c r="D962" s="158"/>
      <c r="G962" s="158"/>
      <c r="K962" s="276"/>
      <c r="N962" s="276"/>
      <c r="T962" s="277"/>
      <c r="Z962" s="278"/>
    </row>
    <row r="963" ht="15.75" customHeight="1">
      <c r="D963" s="158"/>
      <c r="G963" s="158"/>
      <c r="K963" s="276"/>
      <c r="N963" s="276"/>
      <c r="T963" s="277"/>
      <c r="Z963" s="278"/>
    </row>
    <row r="964" ht="15.75" customHeight="1">
      <c r="D964" s="158"/>
      <c r="G964" s="158"/>
      <c r="K964" s="276"/>
      <c r="N964" s="276"/>
      <c r="T964" s="277"/>
      <c r="Z964" s="278"/>
    </row>
    <row r="965" ht="15.75" customHeight="1">
      <c r="D965" s="158"/>
      <c r="G965" s="158"/>
      <c r="K965" s="276"/>
      <c r="N965" s="276"/>
      <c r="T965" s="277"/>
      <c r="Z965" s="278"/>
    </row>
    <row r="966" ht="15.75" customHeight="1">
      <c r="D966" s="158"/>
      <c r="G966" s="158"/>
      <c r="K966" s="276"/>
      <c r="N966" s="276"/>
      <c r="T966" s="277"/>
      <c r="Z966" s="278"/>
    </row>
    <row r="967" ht="15.75" customHeight="1">
      <c r="D967" s="158"/>
      <c r="G967" s="158"/>
      <c r="K967" s="276"/>
      <c r="N967" s="276"/>
      <c r="T967" s="277"/>
      <c r="Z967" s="278"/>
    </row>
    <row r="968" ht="15.75" customHeight="1">
      <c r="D968" s="158"/>
      <c r="G968" s="158"/>
      <c r="K968" s="276"/>
      <c r="N968" s="276"/>
      <c r="T968" s="277"/>
      <c r="Z968" s="278"/>
    </row>
    <row r="969" ht="15.75" customHeight="1">
      <c r="D969" s="158"/>
      <c r="G969" s="158"/>
      <c r="K969" s="276"/>
      <c r="N969" s="276"/>
      <c r="T969" s="277"/>
      <c r="Z969" s="278"/>
    </row>
    <row r="970" ht="15.75" customHeight="1">
      <c r="D970" s="158"/>
      <c r="G970" s="158"/>
      <c r="K970" s="276"/>
      <c r="N970" s="276"/>
      <c r="T970" s="277"/>
      <c r="Z970" s="278"/>
    </row>
    <row r="971" ht="15.75" customHeight="1">
      <c r="D971" s="158"/>
      <c r="G971" s="158"/>
      <c r="K971" s="276"/>
      <c r="N971" s="276"/>
      <c r="T971" s="277"/>
      <c r="Z971" s="278"/>
    </row>
    <row r="972" ht="15.75" customHeight="1">
      <c r="D972" s="158"/>
      <c r="G972" s="158"/>
      <c r="K972" s="276"/>
      <c r="N972" s="276"/>
      <c r="T972" s="277"/>
      <c r="Z972" s="278"/>
    </row>
    <row r="973" ht="15.75" customHeight="1">
      <c r="D973" s="158"/>
      <c r="G973" s="158"/>
      <c r="K973" s="276"/>
      <c r="N973" s="276"/>
      <c r="T973" s="277"/>
      <c r="Z973" s="278"/>
    </row>
    <row r="974" ht="15.75" customHeight="1">
      <c r="D974" s="158"/>
      <c r="G974" s="158"/>
      <c r="K974" s="276"/>
      <c r="N974" s="276"/>
      <c r="T974" s="277"/>
      <c r="Z974" s="278"/>
    </row>
    <row r="975" ht="15.75" customHeight="1">
      <c r="D975" s="158"/>
      <c r="G975" s="158"/>
      <c r="K975" s="276"/>
      <c r="N975" s="276"/>
      <c r="T975" s="277"/>
      <c r="Z975" s="278"/>
    </row>
    <row r="976" ht="15.75" customHeight="1">
      <c r="D976" s="158"/>
      <c r="G976" s="158"/>
      <c r="K976" s="276"/>
      <c r="N976" s="276"/>
      <c r="T976" s="277"/>
      <c r="Z976" s="278"/>
    </row>
    <row r="977" ht="15.75" customHeight="1">
      <c r="D977" s="158"/>
      <c r="G977" s="158"/>
      <c r="K977" s="276"/>
      <c r="N977" s="276"/>
      <c r="T977" s="277"/>
      <c r="Z977" s="278"/>
    </row>
    <row r="978" ht="15.75" customHeight="1">
      <c r="D978" s="158"/>
      <c r="G978" s="158"/>
      <c r="K978" s="276"/>
      <c r="N978" s="276"/>
      <c r="T978" s="277"/>
      <c r="Z978" s="278"/>
    </row>
    <row r="979" ht="15.75" customHeight="1">
      <c r="D979" s="158"/>
      <c r="G979" s="158"/>
      <c r="K979" s="276"/>
      <c r="N979" s="276"/>
      <c r="T979" s="277"/>
      <c r="Z979" s="278"/>
    </row>
    <row r="980" ht="15.75" customHeight="1">
      <c r="D980" s="158"/>
      <c r="G980" s="158"/>
      <c r="K980" s="276"/>
      <c r="N980" s="276"/>
      <c r="T980" s="277"/>
      <c r="Z980" s="278"/>
    </row>
    <row r="981" ht="15.75" customHeight="1">
      <c r="D981" s="158"/>
      <c r="G981" s="158"/>
      <c r="K981" s="276"/>
      <c r="N981" s="276"/>
      <c r="T981" s="277"/>
      <c r="Z981" s="278"/>
    </row>
    <row r="982" ht="15.75" customHeight="1">
      <c r="D982" s="158"/>
      <c r="G982" s="158"/>
      <c r="K982" s="276"/>
      <c r="N982" s="276"/>
      <c r="T982" s="277"/>
      <c r="Z982" s="278"/>
    </row>
    <row r="983" ht="15.75" customHeight="1">
      <c r="D983" s="158"/>
      <c r="G983" s="158"/>
      <c r="K983" s="276"/>
      <c r="N983" s="276"/>
      <c r="T983" s="277"/>
      <c r="Z983" s="278"/>
    </row>
    <row r="984" ht="15.75" customHeight="1">
      <c r="D984" s="158"/>
      <c r="G984" s="158"/>
      <c r="K984" s="276"/>
      <c r="N984" s="276"/>
      <c r="T984" s="277"/>
      <c r="Z984" s="278"/>
    </row>
    <row r="985" ht="15.75" customHeight="1">
      <c r="D985" s="158"/>
      <c r="G985" s="158"/>
      <c r="K985" s="276"/>
      <c r="N985" s="276"/>
      <c r="T985" s="277"/>
      <c r="Z985" s="278"/>
    </row>
    <row r="986" ht="15.75" customHeight="1">
      <c r="D986" s="158"/>
      <c r="G986" s="158"/>
      <c r="K986" s="276"/>
      <c r="N986" s="276"/>
      <c r="T986" s="277"/>
      <c r="Z986" s="278"/>
    </row>
    <row r="987" ht="15.75" customHeight="1">
      <c r="D987" s="158"/>
      <c r="G987" s="158"/>
      <c r="K987" s="276"/>
      <c r="N987" s="276"/>
      <c r="T987" s="277"/>
      <c r="Z987" s="278"/>
    </row>
    <row r="988" ht="15.75" customHeight="1">
      <c r="D988" s="158"/>
      <c r="G988" s="158"/>
      <c r="K988" s="276"/>
      <c r="N988" s="276"/>
      <c r="T988" s="277"/>
      <c r="Z988" s="278"/>
    </row>
    <row r="989" ht="15.75" customHeight="1">
      <c r="D989" s="158"/>
      <c r="G989" s="158"/>
      <c r="K989" s="276"/>
      <c r="N989" s="276"/>
      <c r="T989" s="277"/>
      <c r="Z989" s="278"/>
    </row>
    <row r="990" ht="15.75" customHeight="1">
      <c r="D990" s="158"/>
      <c r="G990" s="158"/>
      <c r="K990" s="276"/>
      <c r="N990" s="276"/>
      <c r="T990" s="277"/>
      <c r="Z990" s="278"/>
    </row>
    <row r="991" ht="15.75" customHeight="1">
      <c r="D991" s="158"/>
      <c r="G991" s="158"/>
      <c r="K991" s="276"/>
      <c r="N991" s="276"/>
      <c r="T991" s="277"/>
      <c r="Z991" s="278"/>
    </row>
    <row r="992" ht="15.75" customHeight="1">
      <c r="D992" s="158"/>
      <c r="G992" s="158"/>
      <c r="K992" s="276"/>
      <c r="N992" s="276"/>
      <c r="T992" s="277"/>
      <c r="Z992" s="278"/>
    </row>
    <row r="993" ht="15.75" customHeight="1">
      <c r="D993" s="158"/>
      <c r="G993" s="158"/>
      <c r="K993" s="276"/>
      <c r="N993" s="276"/>
      <c r="T993" s="277"/>
      <c r="Z993" s="278"/>
    </row>
    <row r="994" ht="15.75" customHeight="1">
      <c r="D994" s="158"/>
      <c r="G994" s="158"/>
      <c r="K994" s="276"/>
      <c r="N994" s="276"/>
      <c r="T994" s="277"/>
      <c r="Z994" s="278"/>
    </row>
    <row r="995" ht="15.75" customHeight="1">
      <c r="D995" s="158"/>
      <c r="G995" s="158"/>
      <c r="K995" s="276"/>
      <c r="N995" s="276"/>
      <c r="T995" s="277"/>
      <c r="Z995" s="278"/>
    </row>
    <row r="996" ht="15.75" customHeight="1">
      <c r="D996" s="158"/>
      <c r="G996" s="158"/>
      <c r="K996" s="276"/>
      <c r="N996" s="276"/>
      <c r="T996" s="277"/>
      <c r="Z996" s="278"/>
    </row>
    <row r="997" ht="15.75" customHeight="1">
      <c r="D997" s="158"/>
      <c r="G997" s="158"/>
      <c r="K997" s="276"/>
      <c r="N997" s="276"/>
      <c r="T997" s="277"/>
      <c r="Z997" s="278"/>
    </row>
    <row r="998" ht="15.75" customHeight="1">
      <c r="D998" s="158"/>
      <c r="G998" s="158"/>
      <c r="K998" s="276"/>
      <c r="N998" s="276"/>
      <c r="T998" s="277"/>
      <c r="Z998" s="278"/>
    </row>
    <row r="999" ht="15.75" customHeight="1">
      <c r="D999" s="158"/>
      <c r="G999" s="158"/>
      <c r="K999" s="276"/>
      <c r="N999" s="276"/>
      <c r="T999" s="277"/>
      <c r="Z999" s="278"/>
    </row>
    <row r="1000" ht="15.75" customHeight="1">
      <c r="D1000" s="158"/>
      <c r="G1000" s="158"/>
      <c r="K1000" s="276"/>
      <c r="N1000" s="276"/>
      <c r="T1000" s="277"/>
      <c r="Z1000" s="278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90" t="s">
        <v>126</v>
      </c>
      <c r="B1" s="286" t="s">
        <v>10</v>
      </c>
      <c r="C1" s="92"/>
      <c r="D1" s="93"/>
      <c r="E1" s="286" t="s">
        <v>17</v>
      </c>
      <c r="F1" s="92"/>
      <c r="G1" s="93"/>
      <c r="H1" s="287" t="s">
        <v>25</v>
      </c>
      <c r="I1" s="92"/>
      <c r="J1" s="93"/>
      <c r="K1" s="288" t="s">
        <v>33</v>
      </c>
      <c r="L1" s="92"/>
      <c r="M1" s="93"/>
      <c r="N1" s="288" t="s">
        <v>41</v>
      </c>
      <c r="O1" s="92"/>
      <c r="P1" s="93"/>
      <c r="Q1" s="289" t="s">
        <v>154</v>
      </c>
      <c r="R1" s="92"/>
      <c r="S1" s="93"/>
      <c r="T1" s="290" t="s">
        <v>52</v>
      </c>
      <c r="U1" s="92"/>
      <c r="V1" s="93"/>
      <c r="W1" s="290" t="s">
        <v>59</v>
      </c>
      <c r="X1" s="92"/>
      <c r="Y1" s="93"/>
      <c r="Z1" s="290" t="s">
        <v>66</v>
      </c>
      <c r="AA1" s="92"/>
      <c r="AB1" s="93"/>
      <c r="AC1" s="290" t="s">
        <v>67</v>
      </c>
      <c r="AD1" s="92"/>
      <c r="AE1" s="93"/>
      <c r="AF1" s="290" t="s">
        <v>74</v>
      </c>
      <c r="AG1" s="92"/>
      <c r="AH1" s="93"/>
      <c r="AI1" s="291" t="s">
        <v>76</v>
      </c>
      <c r="AJ1" s="98" t="s">
        <v>128</v>
      </c>
      <c r="AK1" s="438" t="s">
        <v>149</v>
      </c>
      <c r="AL1" s="438" t="s">
        <v>150</v>
      </c>
      <c r="AM1" s="438" t="s">
        <v>151</v>
      </c>
      <c r="AN1" s="438" t="s">
        <v>152</v>
      </c>
      <c r="AO1" s="438" t="s">
        <v>153</v>
      </c>
    </row>
    <row r="2" ht="24.0" customHeight="1">
      <c r="A2" s="99"/>
      <c r="B2" s="292" t="s">
        <v>129</v>
      </c>
      <c r="C2" s="293" t="s">
        <v>82</v>
      </c>
      <c r="D2" s="294" t="s">
        <v>130</v>
      </c>
      <c r="E2" s="292" t="s">
        <v>129</v>
      </c>
      <c r="F2" s="293" t="s">
        <v>82</v>
      </c>
      <c r="G2" s="294" t="s">
        <v>130</v>
      </c>
      <c r="H2" s="292" t="s">
        <v>129</v>
      </c>
      <c r="I2" s="293" t="s">
        <v>82</v>
      </c>
      <c r="J2" s="294" t="s">
        <v>130</v>
      </c>
      <c r="K2" s="292" t="s">
        <v>129</v>
      </c>
      <c r="L2" s="293" t="s">
        <v>82</v>
      </c>
      <c r="M2" s="294" t="s">
        <v>130</v>
      </c>
      <c r="N2" s="292" t="s">
        <v>129</v>
      </c>
      <c r="O2" s="293" t="s">
        <v>82</v>
      </c>
      <c r="P2" s="294" t="s">
        <v>130</v>
      </c>
      <c r="Q2" s="292" t="s">
        <v>129</v>
      </c>
      <c r="R2" s="293" t="s">
        <v>82</v>
      </c>
      <c r="S2" s="294" t="s">
        <v>130</v>
      </c>
      <c r="T2" s="292" t="s">
        <v>129</v>
      </c>
      <c r="U2" s="293" t="s">
        <v>82</v>
      </c>
      <c r="V2" s="294" t="s">
        <v>130</v>
      </c>
      <c r="W2" s="292" t="s">
        <v>129</v>
      </c>
      <c r="X2" s="293" t="s">
        <v>82</v>
      </c>
      <c r="Y2" s="294" t="s">
        <v>130</v>
      </c>
      <c r="Z2" s="292" t="s">
        <v>129</v>
      </c>
      <c r="AA2" s="293" t="s">
        <v>82</v>
      </c>
      <c r="AB2" s="294" t="s">
        <v>130</v>
      </c>
      <c r="AC2" s="292" t="s">
        <v>129</v>
      </c>
      <c r="AD2" s="293" t="s">
        <v>82</v>
      </c>
      <c r="AE2" s="294" t="s">
        <v>130</v>
      </c>
      <c r="AF2" s="292" t="s">
        <v>129</v>
      </c>
      <c r="AG2" s="293" t="s">
        <v>82</v>
      </c>
      <c r="AH2" s="294" t="s">
        <v>130</v>
      </c>
      <c r="AI2" s="292" t="s">
        <v>129</v>
      </c>
      <c r="AJ2" s="439" t="s">
        <v>82</v>
      </c>
      <c r="AK2" s="440"/>
      <c r="AL2" s="440"/>
      <c r="AM2" s="440"/>
      <c r="AN2" s="440"/>
      <c r="AO2" s="440"/>
    </row>
    <row r="3" ht="21.75" customHeight="1">
      <c r="A3" s="104" t="s">
        <v>131</v>
      </c>
      <c r="B3" s="295" t="str">
        <f>100%+'Quaterly Tables'!I3</f>
        <v>#REF!</v>
      </c>
      <c r="C3" s="296" t="str">
        <f t="shared" ref="C3:C8" si="1">IFERROR(ROUND(ifs(B3="","",B3&gt;=1.05,5,B3&gt;=1.02,4+(B3-1.02)/0.03,B3&gt;=0.99,3+(B3-0.99)/0.03,B3&gt;=0.95,2+(B3-0.95)/0.04,B3&gt;=0.9,1+(B3-0.9)/0.05,TRUE(),0),1),"")</f>
        <v/>
      </c>
      <c r="D3" s="107" t="str">
        <f t="shared" ref="D3:D8" si="2">IF(C3="","",C3*C$9)</f>
        <v/>
      </c>
      <c r="E3" s="297" t="str">
        <f>100%+'Quaterly Tables'!F3</f>
        <v>#REF!</v>
      </c>
      <c r="F3" s="296" t="str">
        <f t="shared" ref="F3:F8" si="3">IFERROR(ROUND(ifs(E3="","",E3&gt;=1.15,5,E3&gt;=1.075,4+(E3-1.075)/0.075,E3&gt;=1.05,3+(E3-1.05)/0.025,E3&gt;=1,2+(E3-1)/0.05,E3&gt;=0.95,1+(E3-0.95)/0.05,TRUE(),0),1),"")</f>
        <v/>
      </c>
      <c r="G3" s="107" t="str">
        <f t="shared" ref="G3:G8" si="4">IF(F3="","",F3*F$9)</f>
        <v/>
      </c>
      <c r="H3" s="298" t="str">
        <f>100%+'Quaterly Tables'!V3</f>
        <v>#REF!</v>
      </c>
      <c r="I3" s="296" t="str">
        <f t="shared" ref="I3:I8" si="5">IFERROR(ROUND(ifs(H3="","",H3&gt;=1.05,5,H3&gt;=1.01,4+(H3-1.01)/0.04,H3&gt;=0.95,3+(H3-0.95)/0.06,H3&gt;=0.85,2+(H3-0.85)/0.1,H3&gt;=0.75,1+(H3-0.75)/0.1,TRUE(),0),1),"")</f>
        <v/>
      </c>
      <c r="J3" s="107" t="str">
        <f t="shared" ref="J3:J8" si="6">IF(I3="","",I3*I$9)</f>
        <v/>
      </c>
      <c r="K3" s="299" t="str">
        <f>'Quaterly Tables'!L3*100</f>
        <v>#REF!</v>
      </c>
      <c r="L3" s="296" t="str">
        <f t="shared" ref="L3:L8" si="7">IFERROR(ROUND(IFS(K3="","",K3&gt;=3,0,K3&gt;=2,1+(3-K3)/1,K3&gt;=1,2+(2-K3)/1,K3&gt;0,3+(1-K3)/1,K3&gt;=-1,4+(0-K3)/1,TRUE,5),1),"")</f>
        <v/>
      </c>
      <c r="M3" s="107" t="str">
        <f t="shared" ref="M3:M8" si="8">IF(L3="","",L3*L$9)</f>
        <v/>
      </c>
      <c r="N3" s="300" t="str">
        <f>'Quaterly Tables'!O3*100</f>
        <v>#REF!</v>
      </c>
      <c r="O3" s="296" t="str">
        <f t="shared" ref="O3:O8" si="9">IFERROR(ROUND(IFS(N3="","",N3&gt;=3,0,N3&gt;=2,1+(3-N3)/1,N3&gt;=1,2+(2-N3)/1,N3&gt;0,3+(1-N3)/1,N3&gt;=-1,4+(0-N3)/1,TRUE,5),1),"")</f>
        <v/>
      </c>
      <c r="P3" s="107" t="str">
        <f t="shared" ref="P3:P8" si="10">IF(O3="","",O3*O$9)</f>
        <v/>
      </c>
      <c r="Q3" s="301">
        <f>'Quaterly Tables'!E12</f>
        <v>5</v>
      </c>
      <c r="R3" s="296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7">
        <f t="shared" ref="S3:S8" si="12">IF(R3="","",R3*R$9)</f>
        <v>1.05</v>
      </c>
      <c r="T3" s="302">
        <f>'Quaterly Tables'!I20</f>
        <v>0.0405</v>
      </c>
      <c r="U3" s="296">
        <f t="shared" ref="U3:U8" si="13">IFERROR(ROUND(ifs(T3="","",T3&lt;=0.01,5,T3&lt;=0.015,4+(0.015-T3)/0.005,T3&lt;=0.02,3+(0.02-T3)/0.005,T3&lt;=0.04,2+(0.04-T3)/0.02,T3&lt;=0.06,1+(0.06-T3)/0.02,TRUE(),0),1),"")</f>
        <v>2</v>
      </c>
      <c r="V3" s="107">
        <f t="shared" ref="V3:V8" si="14">IF(U3="","",U3*U$9)</f>
        <v>0.17</v>
      </c>
      <c r="W3" s="303">
        <f>'Quaterly Tables'!H31</f>
        <v>0.57</v>
      </c>
      <c r="X3" s="296">
        <f t="shared" ref="X3:X8" si="15">IFERROR(ROUND(ifs(W3="","",W3&lt;=1,5,W3&lt;=1.5,4+(1.5-W3)/0.5,W3&lt;=2,3+(2-W3)/0.5,W3&lt;=5,2+(5-W3)/3,W3&lt;=8,1+(8-W3)/3,TRUE(),0),1),"")</f>
        <v>5</v>
      </c>
      <c r="Y3" s="107">
        <f t="shared" ref="Y3:Y8" si="16">IF(X3="","",X3*X$9)</f>
        <v>0.325</v>
      </c>
      <c r="Z3" s="304">
        <f>'Quaterly Tables'!E20</f>
        <v>4</v>
      </c>
      <c r="AA3" s="296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7">
        <f t="shared" ref="AB3:AB8" si="18">IF(AA3="","",AA3*AA$9)</f>
        <v>0.13</v>
      </c>
      <c r="AC3" s="441">
        <v>92.0</v>
      </c>
      <c r="AD3" s="296">
        <f t="shared" ref="AD3:AD8" si="19">IFERROR(ROUND(ifs(AC3="","",AC3&gt;=94,5,AC3&gt;=89,4+(AC3-89)/5,AC3&gt;=83,3+(AC3-83)/6,AC3&gt;=75,2+(AC3-75)/8,AC3&gt;=70,1+(AC3-70)/5,TRUE(),0),1),"")</f>
        <v>4.6</v>
      </c>
      <c r="AE3" s="107">
        <f t="shared" ref="AE3:AE8" si="20">IF(AD3="","",AD3*AD$9)</f>
        <v>0.483</v>
      </c>
      <c r="AF3" s="306">
        <v>90.0</v>
      </c>
      <c r="AG3" s="296">
        <f t="shared" ref="AG3:AG8" si="21">IFERROR(ROUND(ifs(AF3="","",AF3&gt;=94,5,AF3&gt;=89,4+(AF3-89)/5,AF3&gt;=83,3+(AF3-83)/6,AF3&gt;=75,2+(AF3-75)/8,AF3&gt;=70,1+(AF3-70)/5,TRUE(),0),1),"")</f>
        <v>4.2</v>
      </c>
      <c r="AH3" s="107">
        <f t="shared" ref="AH3:AH8" si="22">IF(AG3="","",AG3*AG$9)</f>
        <v>0.231</v>
      </c>
      <c r="AI3" s="442">
        <v>0.89</v>
      </c>
      <c r="AJ3" s="443">
        <f t="shared" ref="AJ3:AJ8" si="23">SUM(D3,G3,J3,M3,P3,S3,V3,Y3,AB3,AE3,AH3)</f>
        <v>2.389</v>
      </c>
      <c r="AK3" s="444" t="str">
        <f t="shared" ref="AK3:AK7" si="24">IF(AND(AJ3&gt;=2.7,AI3&gt;=87%),"Eligible","Not Eligible")</f>
        <v>Not Eligible</v>
      </c>
      <c r="AL3" s="445">
        <f t="shared" ref="AL3:AL7" si="25">IF(AK3&lt;&gt;"Eligible",0,IF(AJ3&lt;3.7,0.5,IF(AJ3&lt;4.7,0.75,1)))</f>
        <v>0</v>
      </c>
      <c r="AM3" s="446">
        <v>10000.0</v>
      </c>
      <c r="AN3" s="447">
        <f t="shared" ref="AN3:AN7" si="26">AM3*AL3</f>
        <v>0</v>
      </c>
      <c r="AO3" s="447">
        <f t="shared" ref="AO3:AO8" si="27">AN3/4</f>
        <v>0</v>
      </c>
    </row>
    <row r="4" ht="21.75" customHeight="1">
      <c r="A4" s="104" t="s">
        <v>132</v>
      </c>
      <c r="B4" s="295" t="str">
        <f>100%+'Quaterly Tables'!I4</f>
        <v>#DIV/0!</v>
      </c>
      <c r="C4" s="296" t="str">
        <f t="shared" si="1"/>
        <v/>
      </c>
      <c r="D4" s="107" t="str">
        <f t="shared" si="2"/>
        <v/>
      </c>
      <c r="E4" s="297" t="str">
        <f>100%+'Quaterly Tables'!F4</f>
        <v>#DIV/0!</v>
      </c>
      <c r="F4" s="296" t="str">
        <f t="shared" si="3"/>
        <v/>
      </c>
      <c r="G4" s="107" t="str">
        <f t="shared" si="4"/>
        <v/>
      </c>
      <c r="H4" s="298">
        <f>100%+'Quaterly Tables'!V4</f>
        <v>1</v>
      </c>
      <c r="I4" s="296">
        <f t="shared" si="5"/>
        <v>3.8</v>
      </c>
      <c r="J4" s="107">
        <f t="shared" si="6"/>
        <v>0.475</v>
      </c>
      <c r="K4" s="299">
        <f>'Quaterly Tables'!L4*100</f>
        <v>0</v>
      </c>
      <c r="L4" s="296">
        <f t="shared" si="7"/>
        <v>4</v>
      </c>
      <c r="M4" s="107">
        <f t="shared" si="8"/>
        <v>0.42</v>
      </c>
      <c r="N4" s="300">
        <f>'Quaterly Tables'!O4*100</f>
        <v>0</v>
      </c>
      <c r="O4" s="296">
        <f t="shared" si="9"/>
        <v>4</v>
      </c>
      <c r="P4" s="107">
        <f t="shared" si="10"/>
        <v>0.42</v>
      </c>
      <c r="Q4" s="301">
        <f>'Quaterly Tables'!E13</f>
        <v>3</v>
      </c>
      <c r="R4" s="296">
        <f t="shared" si="11"/>
        <v>0</v>
      </c>
      <c r="S4" s="107">
        <f t="shared" si="12"/>
        <v>0</v>
      </c>
      <c r="T4" s="302">
        <f>'Quaterly Tables'!I23</f>
        <v>0.0315</v>
      </c>
      <c r="U4" s="296">
        <f t="shared" si="13"/>
        <v>2.4</v>
      </c>
      <c r="V4" s="107">
        <f t="shared" si="14"/>
        <v>0.204</v>
      </c>
      <c r="W4" s="303">
        <f>'Quaterly Tables'!H34</f>
        <v>1.48</v>
      </c>
      <c r="X4" s="296">
        <f t="shared" si="15"/>
        <v>4</v>
      </c>
      <c r="Y4" s="107">
        <f t="shared" si="16"/>
        <v>0.26</v>
      </c>
      <c r="Z4" s="304">
        <f>'Quaterly Tables'!E23</f>
        <v>4.4</v>
      </c>
      <c r="AA4" s="296">
        <f t="shared" si="17"/>
        <v>3.5</v>
      </c>
      <c r="AB4" s="107">
        <f t="shared" si="18"/>
        <v>0.2275</v>
      </c>
      <c r="AC4" s="441">
        <v>88.0</v>
      </c>
      <c r="AD4" s="296">
        <f t="shared" si="19"/>
        <v>3.8</v>
      </c>
      <c r="AE4" s="107">
        <f t="shared" si="20"/>
        <v>0.399</v>
      </c>
      <c r="AF4" s="306">
        <v>86.0</v>
      </c>
      <c r="AG4" s="296">
        <f t="shared" si="21"/>
        <v>3.5</v>
      </c>
      <c r="AH4" s="107">
        <f t="shared" si="22"/>
        <v>0.1925</v>
      </c>
      <c r="AI4" s="442">
        <v>0.87</v>
      </c>
      <c r="AJ4" s="443">
        <f t="shared" si="23"/>
        <v>2.598</v>
      </c>
      <c r="AK4" s="444" t="str">
        <f t="shared" si="24"/>
        <v>Not Eligible</v>
      </c>
      <c r="AL4" s="445">
        <f t="shared" si="25"/>
        <v>0</v>
      </c>
      <c r="AM4" s="446">
        <v>10000.0</v>
      </c>
      <c r="AN4" s="447">
        <f t="shared" si="26"/>
        <v>0</v>
      </c>
      <c r="AO4" s="447">
        <f t="shared" si="27"/>
        <v>0</v>
      </c>
    </row>
    <row r="5" ht="21.75" customHeight="1">
      <c r="A5" s="104" t="s">
        <v>133</v>
      </c>
      <c r="B5" s="295" t="str">
        <f>100%+'Quaterly Tables'!I5</f>
        <v>#DIV/0!</v>
      </c>
      <c r="C5" s="296" t="str">
        <f t="shared" si="1"/>
        <v/>
      </c>
      <c r="D5" s="107" t="str">
        <f t="shared" si="2"/>
        <v/>
      </c>
      <c r="E5" s="297" t="str">
        <f>100%+'Quaterly Tables'!F5</f>
        <v>#DIV/0!</v>
      </c>
      <c r="F5" s="296" t="str">
        <f t="shared" si="3"/>
        <v/>
      </c>
      <c r="G5" s="107" t="str">
        <f t="shared" si="4"/>
        <v/>
      </c>
      <c r="H5" s="298">
        <f>100%+'Quaterly Tables'!V5</f>
        <v>1</v>
      </c>
      <c r="I5" s="296">
        <f t="shared" si="5"/>
        <v>3.8</v>
      </c>
      <c r="J5" s="107">
        <f t="shared" si="6"/>
        <v>0.475</v>
      </c>
      <c r="K5" s="299">
        <f>'Quaterly Tables'!L5*100</f>
        <v>0</v>
      </c>
      <c r="L5" s="296">
        <f t="shared" si="7"/>
        <v>4</v>
      </c>
      <c r="M5" s="107">
        <f t="shared" si="8"/>
        <v>0.42</v>
      </c>
      <c r="N5" s="300">
        <f>'Quaterly Tables'!O5*100</f>
        <v>0</v>
      </c>
      <c r="O5" s="296">
        <f t="shared" si="9"/>
        <v>4</v>
      </c>
      <c r="P5" s="107">
        <f t="shared" si="10"/>
        <v>0.42</v>
      </c>
      <c r="Q5" s="301">
        <f>'Quaterly Tables'!E14</f>
        <v>4.33</v>
      </c>
      <c r="R5" s="296">
        <f t="shared" si="11"/>
        <v>3.2</v>
      </c>
      <c r="S5" s="107">
        <f t="shared" si="12"/>
        <v>0.672</v>
      </c>
      <c r="T5" s="302">
        <f>'Quaterly Tables'!I21</f>
        <v>0.0264</v>
      </c>
      <c r="U5" s="296">
        <f t="shared" si="13"/>
        <v>2.7</v>
      </c>
      <c r="V5" s="107">
        <f t="shared" si="14"/>
        <v>0.2295</v>
      </c>
      <c r="W5" s="303">
        <f>'Quaterly Tables'!H32</f>
        <v>0.59</v>
      </c>
      <c r="X5" s="296">
        <f t="shared" si="15"/>
        <v>5</v>
      </c>
      <c r="Y5" s="107">
        <f t="shared" si="16"/>
        <v>0.325</v>
      </c>
      <c r="Z5" s="304">
        <f>'Quaterly Tables'!E21</f>
        <v>4.5</v>
      </c>
      <c r="AA5" s="296">
        <f t="shared" si="17"/>
        <v>4</v>
      </c>
      <c r="AB5" s="107">
        <f t="shared" si="18"/>
        <v>0.26</v>
      </c>
      <c r="AC5" s="441">
        <v>91.0</v>
      </c>
      <c r="AD5" s="296">
        <f t="shared" si="19"/>
        <v>4.4</v>
      </c>
      <c r="AE5" s="107">
        <f t="shared" si="20"/>
        <v>0.462</v>
      </c>
      <c r="AF5" s="306">
        <v>93.0</v>
      </c>
      <c r="AG5" s="296">
        <f t="shared" si="21"/>
        <v>4.8</v>
      </c>
      <c r="AH5" s="107">
        <f t="shared" si="22"/>
        <v>0.264</v>
      </c>
      <c r="AI5" s="442">
        <v>0.93</v>
      </c>
      <c r="AJ5" s="443">
        <f t="shared" si="23"/>
        <v>3.5275</v>
      </c>
      <c r="AK5" s="444" t="str">
        <f t="shared" si="24"/>
        <v>Eligible</v>
      </c>
      <c r="AL5" s="445">
        <f t="shared" si="25"/>
        <v>0.5</v>
      </c>
      <c r="AM5" s="446">
        <v>10000.0</v>
      </c>
      <c r="AN5" s="447">
        <f t="shared" si="26"/>
        <v>5000</v>
      </c>
      <c r="AO5" s="447">
        <f t="shared" si="27"/>
        <v>1250</v>
      </c>
    </row>
    <row r="6" ht="21.75" customHeight="1">
      <c r="A6" s="104" t="s">
        <v>134</v>
      </c>
      <c r="B6" s="295" t="str">
        <f>100%+'Quaterly Tables'!I6</f>
        <v>#DIV/0!</v>
      </c>
      <c r="C6" s="296" t="str">
        <f t="shared" si="1"/>
        <v/>
      </c>
      <c r="D6" s="107" t="str">
        <f t="shared" si="2"/>
        <v/>
      </c>
      <c r="E6" s="297" t="str">
        <f>100%+'Quaterly Tables'!F6</f>
        <v>#DIV/0!</v>
      </c>
      <c r="F6" s="296" t="str">
        <f t="shared" si="3"/>
        <v/>
      </c>
      <c r="G6" s="107" t="str">
        <f t="shared" si="4"/>
        <v/>
      </c>
      <c r="H6" s="298">
        <f>100%+'Quaterly Tables'!V6</f>
        <v>1</v>
      </c>
      <c r="I6" s="296">
        <f t="shared" si="5"/>
        <v>3.8</v>
      </c>
      <c r="J6" s="107">
        <f t="shared" si="6"/>
        <v>0.475</v>
      </c>
      <c r="K6" s="299">
        <f>'Quaterly Tables'!L6*100</f>
        <v>0</v>
      </c>
      <c r="L6" s="296">
        <f t="shared" si="7"/>
        <v>4</v>
      </c>
      <c r="M6" s="107">
        <f t="shared" si="8"/>
        <v>0.42</v>
      </c>
      <c r="N6" s="300">
        <f>'Quaterly Tables'!O6*100</f>
        <v>0</v>
      </c>
      <c r="O6" s="296">
        <f t="shared" si="9"/>
        <v>4</v>
      </c>
      <c r="P6" s="107">
        <f t="shared" si="10"/>
        <v>0.42</v>
      </c>
      <c r="Q6" s="301">
        <f>'Quaterly Tables'!E15</f>
        <v>4.67</v>
      </c>
      <c r="R6" s="296">
        <f t="shared" si="11"/>
        <v>4.9</v>
      </c>
      <c r="S6" s="107">
        <f t="shared" si="12"/>
        <v>1.029</v>
      </c>
      <c r="T6" s="302">
        <f>'Quaterly Tables'!I22</f>
        <v>0.0315</v>
      </c>
      <c r="U6" s="296">
        <f t="shared" si="13"/>
        <v>2.4</v>
      </c>
      <c r="V6" s="107">
        <f t="shared" si="14"/>
        <v>0.204</v>
      </c>
      <c r="W6" s="303">
        <f>'Quaterly Tables'!H33</f>
        <v>1.14</v>
      </c>
      <c r="X6" s="296">
        <f t="shared" si="15"/>
        <v>4.7</v>
      </c>
      <c r="Y6" s="107">
        <f t="shared" si="16"/>
        <v>0.3055</v>
      </c>
      <c r="Z6" s="304">
        <f>'Quaterly Tables'!E22</f>
        <v>4.3</v>
      </c>
      <c r="AA6" s="296">
        <f t="shared" si="17"/>
        <v>3</v>
      </c>
      <c r="AB6" s="107">
        <f t="shared" si="18"/>
        <v>0.195</v>
      </c>
      <c r="AC6" s="441">
        <v>78.0</v>
      </c>
      <c r="AD6" s="296">
        <f t="shared" si="19"/>
        <v>2.4</v>
      </c>
      <c r="AE6" s="107">
        <f t="shared" si="20"/>
        <v>0.252</v>
      </c>
      <c r="AF6" s="306">
        <v>75.0</v>
      </c>
      <c r="AG6" s="296">
        <f t="shared" si="21"/>
        <v>2</v>
      </c>
      <c r="AH6" s="107">
        <f t="shared" si="22"/>
        <v>0.11</v>
      </c>
      <c r="AI6" s="442">
        <v>0.88</v>
      </c>
      <c r="AJ6" s="443">
        <f t="shared" si="23"/>
        <v>3.4105</v>
      </c>
      <c r="AK6" s="444" t="str">
        <f t="shared" si="24"/>
        <v>Eligible</v>
      </c>
      <c r="AL6" s="445">
        <f t="shared" si="25"/>
        <v>0.5</v>
      </c>
      <c r="AM6" s="446">
        <v>10000.0</v>
      </c>
      <c r="AN6" s="447">
        <f t="shared" si="26"/>
        <v>5000</v>
      </c>
      <c r="AO6" s="447">
        <f t="shared" si="27"/>
        <v>1250</v>
      </c>
    </row>
    <row r="7" ht="21.75" customHeight="1">
      <c r="A7" s="127" t="s">
        <v>135</v>
      </c>
      <c r="B7" s="295" t="str">
        <f>100%+'Quaterly Tables'!I7</f>
        <v>#DIV/0!</v>
      </c>
      <c r="C7" s="296" t="str">
        <f t="shared" si="1"/>
        <v/>
      </c>
      <c r="D7" s="107" t="str">
        <f t="shared" si="2"/>
        <v/>
      </c>
      <c r="E7" s="297" t="str">
        <f>100%+'Quaterly Tables'!F7</f>
        <v>#DIV/0!</v>
      </c>
      <c r="F7" s="296" t="str">
        <f t="shared" si="3"/>
        <v/>
      </c>
      <c r="G7" s="107" t="str">
        <f t="shared" si="4"/>
        <v/>
      </c>
      <c r="H7" s="298">
        <f>100%+'Quaterly Tables'!V7</f>
        <v>1</v>
      </c>
      <c r="I7" s="296">
        <f t="shared" si="5"/>
        <v>3.8</v>
      </c>
      <c r="J7" s="107">
        <f t="shared" si="6"/>
        <v>0.475</v>
      </c>
      <c r="K7" s="299">
        <f>'Quaterly Tables'!L7*100</f>
        <v>0</v>
      </c>
      <c r="L7" s="296">
        <f t="shared" si="7"/>
        <v>4</v>
      </c>
      <c r="M7" s="107">
        <f t="shared" si="8"/>
        <v>0.42</v>
      </c>
      <c r="N7" s="300">
        <f>'Quaterly Tables'!O7*100</f>
        <v>0</v>
      </c>
      <c r="O7" s="296">
        <f t="shared" si="9"/>
        <v>4</v>
      </c>
      <c r="P7" s="107">
        <f t="shared" si="10"/>
        <v>0.42</v>
      </c>
      <c r="Q7" s="301">
        <f>'Quaterly Tables'!E16</f>
        <v>4.47</v>
      </c>
      <c r="R7" s="296">
        <f t="shared" si="11"/>
        <v>3.9</v>
      </c>
      <c r="S7" s="107">
        <f t="shared" si="12"/>
        <v>0.819</v>
      </c>
      <c r="T7" s="302">
        <f>'Quaterly Tables'!I24</f>
        <v>0.045</v>
      </c>
      <c r="U7" s="296">
        <f t="shared" si="13"/>
        <v>1.8</v>
      </c>
      <c r="V7" s="107">
        <f t="shared" si="14"/>
        <v>0.153</v>
      </c>
      <c r="W7" s="303">
        <f>'Quaterly Tables'!H30</f>
        <v>2.03</v>
      </c>
      <c r="X7" s="296">
        <f t="shared" si="15"/>
        <v>3</v>
      </c>
      <c r="Y7" s="107">
        <f t="shared" si="16"/>
        <v>0.195</v>
      </c>
      <c r="Z7" s="304">
        <f>'Quaterly Tables'!E24</f>
        <v>4.3</v>
      </c>
      <c r="AA7" s="296">
        <f t="shared" si="17"/>
        <v>3</v>
      </c>
      <c r="AB7" s="107">
        <f t="shared" si="18"/>
        <v>0.195</v>
      </c>
      <c r="AC7" s="441">
        <v>77.0</v>
      </c>
      <c r="AD7" s="296">
        <f t="shared" si="19"/>
        <v>2.3</v>
      </c>
      <c r="AE7" s="107">
        <f t="shared" si="20"/>
        <v>0.2415</v>
      </c>
      <c r="AF7" s="306">
        <v>74.0</v>
      </c>
      <c r="AG7" s="296">
        <f t="shared" si="21"/>
        <v>1.8</v>
      </c>
      <c r="AH7" s="107">
        <f t="shared" si="22"/>
        <v>0.099</v>
      </c>
      <c r="AI7" s="442">
        <v>0.78</v>
      </c>
      <c r="AJ7" s="443">
        <f t="shared" si="23"/>
        <v>3.0175</v>
      </c>
      <c r="AK7" s="444" t="str">
        <f t="shared" si="24"/>
        <v>Not Eligible</v>
      </c>
      <c r="AL7" s="445">
        <f t="shared" si="25"/>
        <v>0</v>
      </c>
      <c r="AM7" s="446">
        <v>10000.0</v>
      </c>
      <c r="AN7" s="447">
        <f t="shared" si="26"/>
        <v>0</v>
      </c>
      <c r="AO7" s="447">
        <f t="shared" si="27"/>
        <v>0</v>
      </c>
    </row>
    <row r="8" ht="21.75" customHeight="1">
      <c r="A8" s="132" t="s">
        <v>136</v>
      </c>
      <c r="B8" s="312" t="str">
        <f>100%+'Quaterly Tables'!I8</f>
        <v>#DIV/0!</v>
      </c>
      <c r="C8" s="313" t="str">
        <f t="shared" si="1"/>
        <v/>
      </c>
      <c r="D8" s="135" t="str">
        <f t="shared" si="2"/>
        <v/>
      </c>
      <c r="E8" s="314" t="str">
        <f>100%+'Quaterly Tables'!F8</f>
        <v>#DIV/0!</v>
      </c>
      <c r="F8" s="313" t="str">
        <f t="shared" si="3"/>
        <v/>
      </c>
      <c r="G8" s="135" t="str">
        <f t="shared" si="4"/>
        <v/>
      </c>
      <c r="H8" s="315">
        <f>100%+'Quaterly Tables'!V8</f>
        <v>1</v>
      </c>
      <c r="I8" s="313">
        <f t="shared" si="5"/>
        <v>3.8</v>
      </c>
      <c r="J8" s="135">
        <f t="shared" si="6"/>
        <v>0.475</v>
      </c>
      <c r="K8" s="316">
        <f>'Quaterly Tables'!L8*100</f>
        <v>0</v>
      </c>
      <c r="L8" s="313">
        <f t="shared" si="7"/>
        <v>4</v>
      </c>
      <c r="M8" s="135">
        <f t="shared" si="8"/>
        <v>0.42</v>
      </c>
      <c r="N8" s="317">
        <f>'Quaterly Tables'!O8*100</f>
        <v>0</v>
      </c>
      <c r="O8" s="313">
        <f t="shared" si="9"/>
        <v>4</v>
      </c>
      <c r="P8" s="135">
        <f t="shared" si="10"/>
        <v>0.42</v>
      </c>
      <c r="Q8" s="318">
        <f>'Quaterly Tables'!E17</f>
        <v>4.294</v>
      </c>
      <c r="R8" s="313">
        <f t="shared" si="11"/>
        <v>3</v>
      </c>
      <c r="S8" s="135">
        <f t="shared" si="12"/>
        <v>0.63</v>
      </c>
      <c r="T8" s="319">
        <f>'Quaterly Tables'!I25</f>
        <v>0.03498</v>
      </c>
      <c r="U8" s="313">
        <f t="shared" si="13"/>
        <v>2.3</v>
      </c>
      <c r="V8" s="135">
        <f t="shared" si="14"/>
        <v>0.1955</v>
      </c>
      <c r="W8" s="320">
        <f>'Quaterly Tables'!H35</f>
        <v>1.19</v>
      </c>
      <c r="X8" s="313">
        <f t="shared" si="15"/>
        <v>4.6</v>
      </c>
      <c r="Y8" s="135">
        <f t="shared" si="16"/>
        <v>0.299</v>
      </c>
      <c r="Z8" s="321">
        <f>'Quaterly Tables'!E25</f>
        <v>4.3</v>
      </c>
      <c r="AA8" s="313">
        <f t="shared" si="17"/>
        <v>3</v>
      </c>
      <c r="AB8" s="135">
        <f t="shared" si="18"/>
        <v>0.195</v>
      </c>
      <c r="AC8" s="322">
        <f>AVERAGE(AC3:AC7)</f>
        <v>85.2</v>
      </c>
      <c r="AD8" s="313">
        <f t="shared" si="19"/>
        <v>3.4</v>
      </c>
      <c r="AE8" s="135">
        <f t="shared" si="20"/>
        <v>0.357</v>
      </c>
      <c r="AF8" s="322">
        <f>AVERAGE(AF3:AF7)</f>
        <v>83.6</v>
      </c>
      <c r="AG8" s="313">
        <f t="shared" si="21"/>
        <v>3.1</v>
      </c>
      <c r="AH8" s="135">
        <f t="shared" si="22"/>
        <v>0.1705</v>
      </c>
      <c r="AI8" s="448">
        <f>AVERAGE(AI3:AI7)</f>
        <v>0.87</v>
      </c>
      <c r="AJ8" s="443">
        <f t="shared" si="23"/>
        <v>3.162</v>
      </c>
      <c r="AK8" s="444"/>
      <c r="AL8" s="445"/>
      <c r="AM8" s="446">
        <f t="shared" ref="AM8:AN8" si="28">SUM(AM3:AM7)</f>
        <v>50000</v>
      </c>
      <c r="AN8" s="447">
        <f t="shared" si="28"/>
        <v>10000</v>
      </c>
      <c r="AO8" s="447">
        <f t="shared" si="27"/>
        <v>2500</v>
      </c>
    </row>
    <row r="9" ht="19.5" customHeight="1">
      <c r="A9" s="449" t="s">
        <v>137</v>
      </c>
      <c r="B9" s="450"/>
      <c r="C9" s="325">
        <f>'Scoring Matrix'!C72</f>
        <v>0.04</v>
      </c>
      <c r="D9" s="451"/>
      <c r="E9" s="450"/>
      <c r="F9" s="325">
        <f>'Scoring Matrix'!C74</f>
        <v>0.04</v>
      </c>
      <c r="G9" s="451"/>
      <c r="H9" s="450"/>
      <c r="I9" s="325">
        <f>'Scoring Matrix'!C76</f>
        <v>0.125</v>
      </c>
      <c r="J9" s="451"/>
      <c r="K9" s="450"/>
      <c r="L9" s="325">
        <f>'Scoring Matrix'!C78</f>
        <v>0.105</v>
      </c>
      <c r="M9" s="451"/>
      <c r="N9" s="450"/>
      <c r="O9" s="325">
        <f>'Scoring Matrix'!C80</f>
        <v>0.105</v>
      </c>
      <c r="P9" s="451"/>
      <c r="Q9" s="450"/>
      <c r="R9" s="325">
        <f>'Scoring Matrix'!C82</f>
        <v>0.21</v>
      </c>
      <c r="S9" s="451"/>
      <c r="T9" s="450"/>
      <c r="U9" s="325">
        <f>'Scoring Matrix'!C84</f>
        <v>0.085</v>
      </c>
      <c r="V9" s="451"/>
      <c r="W9" s="450"/>
      <c r="X9" s="325">
        <f>'Scoring Matrix'!C86</f>
        <v>0.065</v>
      </c>
      <c r="Y9" s="451"/>
      <c r="Z9" s="450"/>
      <c r="AA9" s="325">
        <f>'Scoring Matrix'!C88</f>
        <v>0.065</v>
      </c>
      <c r="AB9" s="451"/>
      <c r="AC9" s="450"/>
      <c r="AD9" s="325">
        <f>'Scoring Matrix'!C90</f>
        <v>0.105</v>
      </c>
      <c r="AE9" s="451"/>
      <c r="AF9" s="450"/>
      <c r="AG9" s="325">
        <f>'Scoring Matrix'!C92</f>
        <v>0.055</v>
      </c>
      <c r="AH9" s="451"/>
      <c r="AI9" s="450"/>
      <c r="AJ9" s="452"/>
      <c r="AK9" s="453"/>
      <c r="AL9" s="453"/>
      <c r="AM9" s="453"/>
      <c r="AN9" s="453"/>
      <c r="AO9" s="453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54" t="s">
        <v>139</v>
      </c>
      <c r="B1" s="454" t="s">
        <v>140</v>
      </c>
      <c r="C1" s="454" t="s">
        <v>141</v>
      </c>
      <c r="D1" s="455" t="s">
        <v>10</v>
      </c>
      <c r="E1" s="454" t="s">
        <v>17</v>
      </c>
      <c r="F1" s="454" t="s">
        <v>148</v>
      </c>
      <c r="G1" s="454" t="s">
        <v>33</v>
      </c>
      <c r="H1" s="454" t="s">
        <v>41</v>
      </c>
      <c r="I1" s="454" t="s">
        <v>155</v>
      </c>
      <c r="J1" s="456" t="s">
        <v>127</v>
      </c>
      <c r="K1" s="454" t="s">
        <v>66</v>
      </c>
      <c r="L1" s="454" t="s">
        <v>142</v>
      </c>
      <c r="M1" s="454" t="s">
        <v>59</v>
      </c>
      <c r="N1" s="454" t="s">
        <v>67</v>
      </c>
      <c r="O1" s="454" t="s">
        <v>74</v>
      </c>
      <c r="P1" s="454" t="s">
        <v>76</v>
      </c>
      <c r="Q1" s="402" t="s">
        <v>149</v>
      </c>
      <c r="R1" s="402" t="s">
        <v>150</v>
      </c>
      <c r="S1" s="402" t="s">
        <v>153</v>
      </c>
    </row>
    <row r="2">
      <c r="A2" s="457" t="s">
        <v>131</v>
      </c>
      <c r="B2" s="458">
        <f>'Quaterly Store Scorecards '!AJ3</f>
        <v>2.389</v>
      </c>
      <c r="C2" s="459" t="str">
        <f t="shared" ref="C2:C7" si="1">IFS(B2&lt;1.7,"Non", B2&lt;2.7,"Low", B2&lt;3.7,"Contributor", B2&lt;4.7,"High", TRUE,"STAR")</f>
        <v>Low</v>
      </c>
      <c r="D2" s="460" t="str">
        <f>'Quaterly Store Scorecards '!B3</f>
        <v>#REF!</v>
      </c>
      <c r="E2" s="460" t="str">
        <f>'Quaterly Store Scorecards '!E3</f>
        <v>#REF!</v>
      </c>
      <c r="F2" s="461" t="str">
        <f>'Quaterly Store Scorecards '!H3</f>
        <v>#REF!</v>
      </c>
      <c r="G2" s="462" t="str">
        <f>'Quaterly Store Scorecards '!K3</f>
        <v>#REF!</v>
      </c>
      <c r="H2" s="462" t="str">
        <f>'Quaterly Store Scorecards '!N3</f>
        <v>#REF!</v>
      </c>
      <c r="I2" s="462" t="str">
        <f>AVERAGE('Quaterly Store Scorecards '!K3,'Quaterly Store Scorecards '!N3)</f>
        <v>#REF!</v>
      </c>
      <c r="J2" s="459">
        <f>'Quaterly Store Scorecards '!Q3</f>
        <v>5</v>
      </c>
      <c r="K2" s="463">
        <f>'Quaterly Store Scorecards '!Z3</f>
        <v>4</v>
      </c>
      <c r="L2" s="460">
        <f>'Quaterly Store Scorecards '!T3</f>
        <v>0.0405</v>
      </c>
      <c r="M2" s="464">
        <f>'Quaterly Store Scorecards '!W3</f>
        <v>0.57</v>
      </c>
      <c r="N2" s="465">
        <f>'Quaterly Store Scorecards '!AC3</f>
        <v>92</v>
      </c>
      <c r="O2" s="465">
        <f>'Quaterly Store Scorecards '!AF3</f>
        <v>90</v>
      </c>
      <c r="P2" s="466">
        <f>'Quaterly Store Scorecards '!AI3</f>
        <v>0.89</v>
      </c>
      <c r="Q2" s="467" t="str">
        <f>'Quaterly Store Scorecards '!AK3</f>
        <v>Not Eligible</v>
      </c>
      <c r="R2" s="468">
        <f>'Quaterly Store Scorecards '!AL3</f>
        <v>0</v>
      </c>
      <c r="S2" s="469">
        <f>'Quaterly Store Scorecards '!AO3</f>
        <v>0</v>
      </c>
    </row>
    <row r="3">
      <c r="A3" s="457" t="s">
        <v>132</v>
      </c>
      <c r="B3" s="470">
        <f>'Quaterly Store Scorecards '!AJ4</f>
        <v>2.598</v>
      </c>
      <c r="C3" s="459" t="str">
        <f t="shared" si="1"/>
        <v>Low</v>
      </c>
      <c r="D3" s="460" t="str">
        <f>'Quaterly Store Scorecards '!B4</f>
        <v>#DIV/0!</v>
      </c>
      <c r="E3" s="460" t="str">
        <f>'Quaterly Store Scorecards '!E4</f>
        <v>#DIV/0!</v>
      </c>
      <c r="F3" s="461">
        <f>'Quaterly Store Scorecards '!H4</f>
        <v>1</v>
      </c>
      <c r="G3" s="462">
        <f>'Quaterly Store Scorecards '!K4</f>
        <v>0</v>
      </c>
      <c r="H3" s="462">
        <f>'Quaterly Store Scorecards '!N4</f>
        <v>0</v>
      </c>
      <c r="I3" s="462">
        <f>AVERAGE('Quaterly Store Scorecards '!K4,'Quaterly Store Scorecards '!N4)</f>
        <v>0</v>
      </c>
      <c r="J3" s="459">
        <f>'Quaterly Store Scorecards '!Q4</f>
        <v>3</v>
      </c>
      <c r="K3" s="463">
        <f>'Quaterly Store Scorecards '!Z4</f>
        <v>4.4</v>
      </c>
      <c r="L3" s="460">
        <f>'Quaterly Store Scorecards '!T4</f>
        <v>0.0315</v>
      </c>
      <c r="M3" s="464">
        <f>'Quaterly Store Scorecards '!W4</f>
        <v>1.48</v>
      </c>
      <c r="N3" s="465">
        <f>'Quaterly Store Scorecards '!AC4</f>
        <v>88</v>
      </c>
      <c r="O3" s="465">
        <f>'Quaterly Store Scorecards '!AF4</f>
        <v>86</v>
      </c>
      <c r="P3" s="466">
        <f>'Quaterly Store Scorecards '!AI4</f>
        <v>0.87</v>
      </c>
      <c r="Q3" s="467" t="str">
        <f>'Quaterly Store Scorecards '!AK4</f>
        <v>Not Eligible</v>
      </c>
      <c r="R3" s="468">
        <f>'Quaterly Store Scorecards '!AL4</f>
        <v>0</v>
      </c>
      <c r="S3" s="469">
        <f>'Quaterly Store Scorecards '!AO4</f>
        <v>0</v>
      </c>
    </row>
    <row r="4">
      <c r="A4" s="457" t="s">
        <v>133</v>
      </c>
      <c r="B4" s="471">
        <f>'Quaterly Store Scorecards '!AJ5</f>
        <v>3.5275</v>
      </c>
      <c r="C4" s="459" t="str">
        <f t="shared" si="1"/>
        <v>Contributor</v>
      </c>
      <c r="D4" s="460" t="str">
        <f>'Quaterly Store Scorecards '!B5</f>
        <v>#DIV/0!</v>
      </c>
      <c r="E4" s="460" t="str">
        <f>'Quaterly Store Scorecards '!E5</f>
        <v>#DIV/0!</v>
      </c>
      <c r="F4" s="461">
        <f>'Quaterly Store Scorecards '!H5</f>
        <v>1</v>
      </c>
      <c r="G4" s="462">
        <f>'Quaterly Store Scorecards '!K5</f>
        <v>0</v>
      </c>
      <c r="H4" s="462">
        <f>'Quaterly Store Scorecards '!N5</f>
        <v>0</v>
      </c>
      <c r="I4" s="462">
        <f>AVERAGE('Quaterly Store Scorecards '!K5,'Quaterly Store Scorecards '!N5)</f>
        <v>0</v>
      </c>
      <c r="J4" s="459">
        <f>'Quaterly Store Scorecards '!Q5</f>
        <v>4.33</v>
      </c>
      <c r="K4" s="463">
        <f>'Quaterly Store Scorecards '!Z5</f>
        <v>4.5</v>
      </c>
      <c r="L4" s="460">
        <f>'Quaterly Store Scorecards '!T5</f>
        <v>0.0264</v>
      </c>
      <c r="M4" s="464">
        <f>'Quaterly Store Scorecards '!W5</f>
        <v>0.59</v>
      </c>
      <c r="N4" s="465">
        <f>'Quaterly Store Scorecards '!AC5</f>
        <v>91</v>
      </c>
      <c r="O4" s="465">
        <f>'Quaterly Store Scorecards '!AF5</f>
        <v>93</v>
      </c>
      <c r="P4" s="466">
        <f>'Quaterly Store Scorecards '!AI5</f>
        <v>0.93</v>
      </c>
      <c r="Q4" s="467" t="str">
        <f>'Quaterly Store Scorecards '!AK5</f>
        <v>Eligible</v>
      </c>
      <c r="R4" s="468">
        <f>'Quaterly Store Scorecards '!AL5</f>
        <v>0.5</v>
      </c>
      <c r="S4" s="469">
        <f>'Quaterly Store Scorecards '!AO5</f>
        <v>1250</v>
      </c>
    </row>
    <row r="5">
      <c r="A5" s="457" t="s">
        <v>134</v>
      </c>
      <c r="B5" s="472">
        <f>'Quaterly Store Scorecards '!AJ6</f>
        <v>3.4105</v>
      </c>
      <c r="C5" s="459" t="str">
        <f t="shared" si="1"/>
        <v>Contributor</v>
      </c>
      <c r="D5" s="460" t="str">
        <f>'Quaterly Store Scorecards '!B6</f>
        <v>#DIV/0!</v>
      </c>
      <c r="E5" s="460" t="str">
        <f>'Quaterly Store Scorecards '!E6</f>
        <v>#DIV/0!</v>
      </c>
      <c r="F5" s="461">
        <f>'Quaterly Store Scorecards '!H6</f>
        <v>1</v>
      </c>
      <c r="G5" s="462">
        <f>'Quaterly Store Scorecards '!K6</f>
        <v>0</v>
      </c>
      <c r="H5" s="462">
        <f>'Quaterly Store Scorecards '!N6</f>
        <v>0</v>
      </c>
      <c r="I5" s="462">
        <f>AVERAGE('Quaterly Store Scorecards '!K6,'Quaterly Store Scorecards '!N6)</f>
        <v>0</v>
      </c>
      <c r="J5" s="459">
        <f>'Quaterly Store Scorecards '!Q6</f>
        <v>4.67</v>
      </c>
      <c r="K5" s="463">
        <f>'Quaterly Store Scorecards '!Z6</f>
        <v>4.3</v>
      </c>
      <c r="L5" s="460">
        <f>'Quaterly Store Scorecards '!T6</f>
        <v>0.0315</v>
      </c>
      <c r="M5" s="464">
        <f>'Quaterly Store Scorecards '!W6</f>
        <v>1.14</v>
      </c>
      <c r="N5" s="465">
        <f>'Quaterly Store Scorecards '!AC6</f>
        <v>78</v>
      </c>
      <c r="O5" s="465">
        <f>'Quaterly Store Scorecards '!AF6</f>
        <v>75</v>
      </c>
      <c r="P5" s="466">
        <f>'Quaterly Store Scorecards '!AI6</f>
        <v>0.88</v>
      </c>
      <c r="Q5" s="467" t="str">
        <f>'Quaterly Store Scorecards '!AK6</f>
        <v>Eligible</v>
      </c>
      <c r="R5" s="468">
        <f>'Quaterly Store Scorecards '!AL6</f>
        <v>0.5</v>
      </c>
      <c r="S5" s="469">
        <f>'Quaterly Store Scorecards '!AO6</f>
        <v>1250</v>
      </c>
    </row>
    <row r="6">
      <c r="A6" s="457" t="s">
        <v>135</v>
      </c>
      <c r="B6" s="473">
        <f>'Quaterly Store Scorecards '!AJ7</f>
        <v>3.0175</v>
      </c>
      <c r="C6" s="459" t="str">
        <f t="shared" si="1"/>
        <v>Contributor</v>
      </c>
      <c r="D6" s="460" t="str">
        <f>'Quaterly Store Scorecards '!B7</f>
        <v>#DIV/0!</v>
      </c>
      <c r="E6" s="460" t="str">
        <f>'Quaterly Store Scorecards '!E7</f>
        <v>#DIV/0!</v>
      </c>
      <c r="F6" s="461">
        <f>'Quaterly Store Scorecards '!H7</f>
        <v>1</v>
      </c>
      <c r="G6" s="462">
        <f>'Quaterly Store Scorecards '!K7</f>
        <v>0</v>
      </c>
      <c r="H6" s="462">
        <f>'Quaterly Store Scorecards '!N7</f>
        <v>0</v>
      </c>
      <c r="I6" s="462">
        <f>AVERAGE('Quaterly Store Scorecards '!K7,'Quaterly Store Scorecards '!N7)</f>
        <v>0</v>
      </c>
      <c r="J6" s="459">
        <f>'Quaterly Store Scorecards '!Q7</f>
        <v>4.47</v>
      </c>
      <c r="K6" s="463">
        <f>'Quaterly Store Scorecards '!Z7</f>
        <v>4.3</v>
      </c>
      <c r="L6" s="460">
        <f>'Quaterly Store Scorecards '!T7</f>
        <v>0.045</v>
      </c>
      <c r="M6" s="464">
        <f>'Quaterly Store Scorecards '!W7</f>
        <v>2.03</v>
      </c>
      <c r="N6" s="465">
        <f>'Quaterly Store Scorecards '!AC7</f>
        <v>77</v>
      </c>
      <c r="O6" s="465">
        <f>'Quaterly Store Scorecards '!AF7</f>
        <v>74</v>
      </c>
      <c r="P6" s="466">
        <f>'Quaterly Store Scorecards '!AI7</f>
        <v>0.78</v>
      </c>
      <c r="Q6" s="467" t="str">
        <f>'Quaterly Store Scorecards '!AK7</f>
        <v>Not Eligible</v>
      </c>
      <c r="R6" s="468">
        <f>'Quaterly Store Scorecards '!AL7</f>
        <v>0</v>
      </c>
      <c r="S6" s="469">
        <f>'Quaterly Store Scorecards '!AO7</f>
        <v>0</v>
      </c>
    </row>
    <row r="7">
      <c r="A7" s="474" t="s">
        <v>136</v>
      </c>
      <c r="B7" s="475">
        <f>'Quaterly Store Scorecards '!AJ8</f>
        <v>3.162</v>
      </c>
      <c r="C7" s="476" t="str">
        <f t="shared" si="1"/>
        <v>Contributor</v>
      </c>
      <c r="D7" s="477" t="str">
        <f>'Quaterly Store Scorecards '!B8</f>
        <v>#DIV/0!</v>
      </c>
      <c r="E7" s="477" t="str">
        <f>'Quaterly Store Scorecards '!E8</f>
        <v>#DIV/0!</v>
      </c>
      <c r="F7" s="478">
        <f>'Quaterly Store Scorecards '!H8</f>
        <v>1</v>
      </c>
      <c r="G7" s="479">
        <f>'Quaterly Store Scorecards '!K8</f>
        <v>0</v>
      </c>
      <c r="H7" s="479">
        <f>'Quaterly Store Scorecards '!N8</f>
        <v>0</v>
      </c>
      <c r="I7" s="479">
        <f>AVERAGE('Quaterly Store Scorecards '!K8,'Quaterly Store Scorecards '!N8)</f>
        <v>0</v>
      </c>
      <c r="J7" s="476">
        <f>'Quaterly Store Scorecards '!Q8</f>
        <v>4.294</v>
      </c>
      <c r="K7" s="480">
        <f>'Quaterly Store Scorecards '!Z8</f>
        <v>4.3</v>
      </c>
      <c r="L7" s="477">
        <f>'Quaterly Store Scorecards '!T8</f>
        <v>0.03498</v>
      </c>
      <c r="M7" s="481">
        <f>'Quaterly Store Scorecards '!W8</f>
        <v>1.19</v>
      </c>
      <c r="N7" s="482">
        <f>'Quaterly Store Scorecards '!AC8</f>
        <v>85.2</v>
      </c>
      <c r="O7" s="482">
        <f>'Quaterly Store Scorecards '!AF8</f>
        <v>83.6</v>
      </c>
      <c r="P7" s="483">
        <f>'Quaterly Store Scorecards '!AI8</f>
        <v>0.87</v>
      </c>
      <c r="Q7" s="484" t="str">
        <f>'Quaterly Store Scorecards '!AK8</f>
        <v/>
      </c>
      <c r="R7" s="485" t="str">
        <f>'Quaterly Store Scorecards '!AL8</f>
        <v/>
      </c>
      <c r="S7" s="486">
        <f>'Quaterly Store Scorecards '!AO8</f>
        <v>2500</v>
      </c>
    </row>
    <row r="8">
      <c r="A8" s="3"/>
      <c r="B8" s="197"/>
      <c r="C8" s="197"/>
      <c r="D8" s="197"/>
      <c r="E8" s="197"/>
      <c r="F8" s="197"/>
      <c r="G8" s="197"/>
      <c r="H8" s="197"/>
      <c r="I8" s="197"/>
      <c r="J8" s="197"/>
      <c r="K8" s="197"/>
    </row>
    <row r="9">
      <c r="A9" s="198"/>
      <c r="B9" s="199"/>
      <c r="C9" s="197"/>
      <c r="D9" s="197"/>
      <c r="E9" s="197"/>
      <c r="F9" s="197"/>
      <c r="G9" s="197"/>
      <c r="H9" s="197"/>
      <c r="I9" s="197"/>
      <c r="J9" s="197"/>
      <c r="K9" s="197"/>
    </row>
    <row r="10">
      <c r="A10" s="487"/>
      <c r="B10" s="488"/>
      <c r="C10" s="197"/>
      <c r="D10" s="197"/>
      <c r="E10" s="197"/>
      <c r="F10" s="197"/>
      <c r="G10" s="197"/>
      <c r="H10" s="197"/>
      <c r="I10" s="197"/>
      <c r="J10" s="197"/>
      <c r="K10" s="19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78"/>
    </row>
    <row r="2">
      <c r="B2" s="489" t="str">
        <f>IFERROR(__xludf.DUMMYFUNCTION("IMPORTRANGE(""https://docs.google.com/spreadsheets/d/1rvSw8TokJxxMPNo9zCeN0TVGCwqWJYqsUgV1Y381wpc/edit?gid=1529235844#gid=1529235844"",""Weekly Flash Report!A31:Q37"")"),"Location")</f>
        <v>Location</v>
      </c>
      <c r="C2" s="490" t="str">
        <f>IFERROR(__xludf.DUMMYFUNCTION("""COMPUTED_VALUE"""),"Sales")</f>
        <v>Sales</v>
      </c>
      <c r="D2" s="490" t="str">
        <f>IFERROR(__xludf.DUMMYFUNCTION("""COMPUTED_VALUE"""),"Same Week LY")</f>
        <v>Same Week LY</v>
      </c>
      <c r="E2" s="490" t="str">
        <f>IFERROR(__xludf.DUMMYFUNCTION("""COMPUTED_VALUE"""),"Dollar Change")</f>
        <v>Dollar Change</v>
      </c>
      <c r="F2" s="491" t="str">
        <f>IFERROR(__xludf.DUMMYFUNCTION("""COMPUTED_VALUE"""),"Percent Change")</f>
        <v>Percent Change</v>
      </c>
      <c r="G2" s="490" t="str">
        <f>IFERROR(__xludf.DUMMYFUNCTION("""COMPUTED_VALUE"""),"Weekly Budget")</f>
        <v>Weekly Budget</v>
      </c>
      <c r="H2" s="490" t="str">
        <f>IFERROR(__xludf.DUMMYFUNCTION("""COMPUTED_VALUE"""),"Var to Bud +/-")</f>
        <v>Var to Bud +/-</v>
      </c>
      <c r="I2" s="490" t="str">
        <f>IFERROR(__xludf.DUMMYFUNCTION("""COMPUTED_VALUE"""),"Var to Bud")</f>
        <v>Var to Bud</v>
      </c>
      <c r="J2" s="490" t="str">
        <f>IFERROR(__xludf.DUMMYFUNCTION("""COMPUTED_VALUE"""),"Total Labor ")</f>
        <v>Total Labor </v>
      </c>
      <c r="K2" s="490" t="str">
        <f>IFERROR(__xludf.DUMMYFUNCTION("""COMPUTED_VALUE"""),"Bud Labor")</f>
        <v>Bud Labor</v>
      </c>
      <c r="L2" s="490" t="str">
        <f>IFERROR(__xludf.DUMMYFUNCTION("""COMPUTED_VALUE"""),"Var Lbr to Bud")</f>
        <v>Var Lbr to Bud</v>
      </c>
      <c r="M2" s="490" t="str">
        <f>IFERROR(__xludf.DUMMYFUNCTION("""COMPUTED_VALUE"""),"Total COGS")</f>
        <v>Total COGS</v>
      </c>
      <c r="N2" s="490" t="str">
        <f>IFERROR(__xludf.DUMMYFUNCTION("""COMPUTED_VALUE"""),"Bud COGS")</f>
        <v>Bud COGS</v>
      </c>
      <c r="O2" s="490" t="str">
        <f>IFERROR(__xludf.DUMMYFUNCTION("""COMPUTED_VALUE"""),"Var COGS to Bud")</f>
        <v>Var COGS to Bud</v>
      </c>
      <c r="P2" s="490" t="str">
        <f>IFERROR(__xludf.DUMMYFUNCTION("""COMPUTED_VALUE"""),"Total PC ")</f>
        <v>Total PC </v>
      </c>
      <c r="Q2" s="490" t="str">
        <f>IFERROR(__xludf.DUMMYFUNCTION("""COMPUTED_VALUE"""),"Bud PC ")</f>
        <v>Bud PC </v>
      </c>
      <c r="R2" s="490" t="str">
        <f>IFERROR(__xludf.DUMMYFUNCTION("""COMPUTED_VALUE"""),"Var PC to Bud")</f>
        <v>Var PC to Bud</v>
      </c>
      <c r="S2" s="492"/>
      <c r="T2" s="492"/>
      <c r="U2" s="492"/>
      <c r="V2" s="492"/>
      <c r="W2" s="493"/>
      <c r="X2" s="493"/>
    </row>
    <row r="3">
      <c r="B3" s="494" t="str">
        <f>IFERROR(__xludf.DUMMYFUNCTION("""COMPUTED_VALUE"""),"Ballpark")</f>
        <v>Ballpark</v>
      </c>
      <c r="C3" s="495">
        <f>IFERROR(__xludf.DUMMYFUNCTION("""COMPUTED_VALUE"""),17965.0)</f>
        <v>17965</v>
      </c>
      <c r="D3" s="495">
        <f>IFERROR(__xludf.DUMMYFUNCTION("""COMPUTED_VALUE"""),23808.0)</f>
        <v>23808</v>
      </c>
      <c r="E3" s="496">
        <f>IFERROR(__xludf.DUMMYFUNCTION("""COMPUTED_VALUE"""),-5843.0)</f>
        <v>-5843</v>
      </c>
      <c r="F3" s="497">
        <f>IFERROR(__xludf.DUMMYFUNCTION("""COMPUTED_VALUE"""),-0.2454217069892473)</f>
        <v>-0.245421707</v>
      </c>
      <c r="G3" s="495">
        <f>IFERROR(__xludf.DUMMYFUNCTION("""COMPUTED_VALUE"""),22308.25)</f>
        <v>22308.25</v>
      </c>
      <c r="H3" s="496">
        <f>IFERROR(__xludf.DUMMYFUNCTION("""COMPUTED_VALUE"""),-4343.25)</f>
        <v>-4343.25</v>
      </c>
      <c r="I3" s="497">
        <f>IFERROR(__xludf.DUMMYFUNCTION("""COMPUTED_VALUE"""),-0.19469254647944145)</f>
        <v>-0.1946925465</v>
      </c>
      <c r="J3" s="498">
        <f>IFERROR(__xludf.DUMMYFUNCTION("""COMPUTED_VALUE"""),0.296)</f>
        <v>0.296</v>
      </c>
      <c r="K3" s="498">
        <f>IFERROR(__xludf.DUMMYFUNCTION("""COMPUTED_VALUE"""),0.301)</f>
        <v>0.301</v>
      </c>
      <c r="L3" s="499">
        <f>IFERROR(__xludf.DUMMYFUNCTION("""COMPUTED_VALUE"""),-0.0050000000000000044)</f>
        <v>-0.005</v>
      </c>
      <c r="M3" s="500">
        <f>IFERROR(__xludf.DUMMYFUNCTION("""COMPUTED_VALUE"""),0.311)</f>
        <v>0.311</v>
      </c>
      <c r="N3" s="498">
        <f>IFERROR(__xludf.DUMMYFUNCTION("""COMPUTED_VALUE"""),0.264)</f>
        <v>0.264</v>
      </c>
      <c r="O3" s="497">
        <f>IFERROR(__xludf.DUMMYFUNCTION("""COMPUTED_VALUE"""),0.046999999999999986)</f>
        <v>0.047</v>
      </c>
      <c r="P3" s="498">
        <f>IFERROR(__xludf.DUMMYFUNCTION("""COMPUTED_VALUE"""),0.607)</f>
        <v>0.607</v>
      </c>
      <c r="Q3" s="498">
        <f>IFERROR(__xludf.DUMMYFUNCTION("""COMPUTED_VALUE"""),0.565)</f>
        <v>0.565</v>
      </c>
      <c r="R3" s="497">
        <f>IFERROR(__xludf.DUMMYFUNCTION("""COMPUTED_VALUE"""),0.04200000000000004)</f>
        <v>0.042</v>
      </c>
      <c r="S3" s="501"/>
      <c r="T3" s="501"/>
      <c r="U3" s="501"/>
      <c r="V3" s="501"/>
      <c r="W3" s="502"/>
      <c r="X3" s="502"/>
    </row>
    <row r="4">
      <c r="B4" s="494" t="str">
        <f>IFERROR(__xludf.DUMMYFUNCTION("""COMPUTED_VALUE"""),"Mosaic")</f>
        <v>Mosaic</v>
      </c>
      <c r="C4" s="495">
        <f>IFERROR(__xludf.DUMMYFUNCTION("""COMPUTED_VALUE"""),30952.0)</f>
        <v>30952</v>
      </c>
      <c r="D4" s="495">
        <f>IFERROR(__xludf.DUMMYFUNCTION("""COMPUTED_VALUE"""),20892.0)</f>
        <v>20892</v>
      </c>
      <c r="E4" s="496">
        <f>IFERROR(__xludf.DUMMYFUNCTION("""COMPUTED_VALUE"""),10060.0)</f>
        <v>10060</v>
      </c>
      <c r="F4" s="497">
        <f>IFERROR(__xludf.DUMMYFUNCTION("""COMPUTED_VALUE"""),0.4815240283362052)</f>
        <v>0.4815240283</v>
      </c>
      <c r="G4" s="495">
        <f>IFERROR(__xludf.DUMMYFUNCTION("""COMPUTED_VALUE"""),29278.98)</f>
        <v>29278.98</v>
      </c>
      <c r="H4" s="496">
        <f>IFERROR(__xludf.DUMMYFUNCTION("""COMPUTED_VALUE"""),1673.0200000000004)</f>
        <v>1673.02</v>
      </c>
      <c r="I4" s="497">
        <f>IFERROR(__xludf.DUMMYFUNCTION("""COMPUTED_VALUE"""),0.057140651757677366)</f>
        <v>0.05714065176</v>
      </c>
      <c r="J4" s="498">
        <f>IFERROR(__xludf.DUMMYFUNCTION("""COMPUTED_VALUE"""),0.209)</f>
        <v>0.209</v>
      </c>
      <c r="K4" s="498">
        <f>IFERROR(__xludf.DUMMYFUNCTION("""COMPUTED_VALUE"""),0.268)</f>
        <v>0.268</v>
      </c>
      <c r="L4" s="499">
        <f>IFERROR(__xludf.DUMMYFUNCTION("""COMPUTED_VALUE"""),-0.059000000000000025)</f>
        <v>-0.059</v>
      </c>
      <c r="M4" s="500">
        <f>IFERROR(__xludf.DUMMYFUNCTION("""COMPUTED_VALUE"""),0.283)</f>
        <v>0.283</v>
      </c>
      <c r="N4" s="498">
        <f>IFERROR(__xludf.DUMMYFUNCTION("""COMPUTED_VALUE"""),0.267)</f>
        <v>0.267</v>
      </c>
      <c r="O4" s="497">
        <f>IFERROR(__xludf.DUMMYFUNCTION("""COMPUTED_VALUE"""),0.01599999999999996)</f>
        <v>0.016</v>
      </c>
      <c r="P4" s="498">
        <f>IFERROR(__xludf.DUMMYFUNCTION("""COMPUTED_VALUE"""),0.492)</f>
        <v>0.492</v>
      </c>
      <c r="Q4" s="498">
        <f>IFERROR(__xludf.DUMMYFUNCTION("""COMPUTED_VALUE"""),0.535)</f>
        <v>0.535</v>
      </c>
      <c r="R4" s="497">
        <f>IFERROR(__xludf.DUMMYFUNCTION("""COMPUTED_VALUE"""),-0.04300000000000004)</f>
        <v>-0.043</v>
      </c>
      <c r="S4" s="501"/>
      <c r="T4" s="501"/>
      <c r="U4" s="501"/>
      <c r="V4" s="501"/>
      <c r="W4" s="502"/>
      <c r="X4" s="502"/>
    </row>
    <row r="5">
      <c r="B5" s="494" t="str">
        <f>IFERROR(__xludf.DUMMYFUNCTION("""COMPUTED_VALUE"""),"MVT")</f>
        <v>MVT</v>
      </c>
      <c r="C5" s="495">
        <f>IFERROR(__xludf.DUMMYFUNCTION("""COMPUTED_VALUE"""),38771.0)</f>
        <v>38771</v>
      </c>
      <c r="D5" s="495">
        <f>IFERROR(__xludf.DUMMYFUNCTION("""COMPUTED_VALUE"""),32415.0)</f>
        <v>32415</v>
      </c>
      <c r="E5" s="496">
        <f>IFERROR(__xludf.DUMMYFUNCTION("""COMPUTED_VALUE"""),6356.0)</f>
        <v>6356</v>
      </c>
      <c r="F5" s="497">
        <f>IFERROR(__xludf.DUMMYFUNCTION("""COMPUTED_VALUE"""),0.19608206077433288)</f>
        <v>0.1960820608</v>
      </c>
      <c r="G5" s="495">
        <f>IFERROR(__xludf.DUMMYFUNCTION("""COMPUTED_VALUE"""),48992.08)</f>
        <v>48992.08</v>
      </c>
      <c r="H5" s="496">
        <f>IFERROR(__xludf.DUMMYFUNCTION("""COMPUTED_VALUE"""),-10221.080000000002)</f>
        <v>-10221.08</v>
      </c>
      <c r="I5" s="497">
        <f>IFERROR(__xludf.DUMMYFUNCTION("""COMPUTED_VALUE"""),-0.20862719035403277)</f>
        <v>-0.2086271904</v>
      </c>
      <c r="J5" s="498">
        <f>IFERROR(__xludf.DUMMYFUNCTION("""COMPUTED_VALUE"""),0.237)</f>
        <v>0.237</v>
      </c>
      <c r="K5" s="498">
        <f>IFERROR(__xludf.DUMMYFUNCTION("""COMPUTED_VALUE"""),0.237)</f>
        <v>0.237</v>
      </c>
      <c r="L5" s="499">
        <f>IFERROR(__xludf.DUMMYFUNCTION("""COMPUTED_VALUE"""),0.0)</f>
        <v>0</v>
      </c>
      <c r="M5" s="500">
        <f>IFERROR(__xludf.DUMMYFUNCTION("""COMPUTED_VALUE"""),0.267)</f>
        <v>0.267</v>
      </c>
      <c r="N5" s="498">
        <f>IFERROR(__xludf.DUMMYFUNCTION("""COMPUTED_VALUE"""),0.254)</f>
        <v>0.254</v>
      </c>
      <c r="O5" s="497">
        <f>IFERROR(__xludf.DUMMYFUNCTION("""COMPUTED_VALUE"""),0.013000000000000012)</f>
        <v>0.013</v>
      </c>
      <c r="P5" s="498">
        <f>IFERROR(__xludf.DUMMYFUNCTION("""COMPUTED_VALUE"""),0.504)</f>
        <v>0.504</v>
      </c>
      <c r="Q5" s="498">
        <f>IFERROR(__xludf.DUMMYFUNCTION("""COMPUTED_VALUE"""),0.491)</f>
        <v>0.491</v>
      </c>
      <c r="R5" s="497">
        <f>IFERROR(__xludf.DUMMYFUNCTION("""COMPUTED_VALUE"""),0.013000000000000012)</f>
        <v>0.013</v>
      </c>
      <c r="S5" s="501"/>
      <c r="T5" s="501"/>
      <c r="U5" s="501"/>
      <c r="V5" s="501"/>
      <c r="W5" s="502"/>
      <c r="X5" s="502"/>
    </row>
    <row r="6">
      <c r="B6" s="494" t="str">
        <f>IFERROR(__xludf.DUMMYFUNCTION("""COMPUTED_VALUE"""),"National Landing")</f>
        <v>National Landing</v>
      </c>
      <c r="C6" s="495">
        <f>IFERROR(__xludf.DUMMYFUNCTION("""COMPUTED_VALUE"""),21316.0)</f>
        <v>21316</v>
      </c>
      <c r="D6" s="495">
        <f>IFERROR(__xludf.DUMMYFUNCTION("""COMPUTED_VALUE"""),20859.0)</f>
        <v>20859</v>
      </c>
      <c r="E6" s="496">
        <f>IFERROR(__xludf.DUMMYFUNCTION("""COMPUTED_VALUE"""),457.0)</f>
        <v>457</v>
      </c>
      <c r="F6" s="497">
        <f>IFERROR(__xludf.DUMMYFUNCTION("""COMPUTED_VALUE"""),0.021909008102018315)</f>
        <v>0.0219090081</v>
      </c>
      <c r="G6" s="495">
        <f>IFERROR(__xludf.DUMMYFUNCTION("""COMPUTED_VALUE"""),24492.41)</f>
        <v>24492.41</v>
      </c>
      <c r="H6" s="496">
        <f>IFERROR(__xludf.DUMMYFUNCTION("""COMPUTED_VALUE"""),-3176.41)</f>
        <v>-3176.41</v>
      </c>
      <c r="I6" s="497">
        <f>IFERROR(__xludf.DUMMYFUNCTION("""COMPUTED_VALUE"""),-0.1296895650530103)</f>
        <v>-0.1296895651</v>
      </c>
      <c r="J6" s="498">
        <f>IFERROR(__xludf.DUMMYFUNCTION("""COMPUTED_VALUE"""),0.32)</f>
        <v>0.32</v>
      </c>
      <c r="K6" s="498">
        <f>IFERROR(__xludf.DUMMYFUNCTION("""COMPUTED_VALUE"""),0.288)</f>
        <v>0.288</v>
      </c>
      <c r="L6" s="499">
        <f>IFERROR(__xludf.DUMMYFUNCTION("""COMPUTED_VALUE"""),0.03200000000000003)</f>
        <v>0.032</v>
      </c>
      <c r="M6" s="500">
        <f>IFERROR(__xludf.DUMMYFUNCTION("""COMPUTED_VALUE"""),0.291)</f>
        <v>0.291</v>
      </c>
      <c r="N6" s="498">
        <f>IFERROR(__xludf.DUMMYFUNCTION("""COMPUTED_VALUE"""),0.264)</f>
        <v>0.264</v>
      </c>
      <c r="O6" s="497">
        <f>IFERROR(__xludf.DUMMYFUNCTION("""COMPUTED_VALUE"""),0.02699999999999997)</f>
        <v>0.027</v>
      </c>
      <c r="P6" s="498">
        <f>IFERROR(__xludf.DUMMYFUNCTION("""COMPUTED_VALUE"""),0.611)</f>
        <v>0.611</v>
      </c>
      <c r="Q6" s="498">
        <f>IFERROR(__xludf.DUMMYFUNCTION("""COMPUTED_VALUE"""),0.552)</f>
        <v>0.552</v>
      </c>
      <c r="R6" s="497">
        <f>IFERROR(__xludf.DUMMYFUNCTION("""COMPUTED_VALUE"""),0.05899999999999994)</f>
        <v>0.059</v>
      </c>
      <c r="S6" s="501"/>
      <c r="T6" s="501"/>
      <c r="U6" s="501"/>
      <c r="V6" s="501"/>
      <c r="W6" s="502"/>
      <c r="X6" s="502"/>
    </row>
    <row r="7">
      <c r="B7" s="494" t="str">
        <f>IFERROR(__xludf.DUMMYFUNCTION("""COMPUTED_VALUE"""),"Rockville")</f>
        <v>Rockville</v>
      </c>
      <c r="C7" s="495">
        <f>IFERROR(__xludf.DUMMYFUNCTION("""COMPUTED_VALUE"""),24750.0)</f>
        <v>24750</v>
      </c>
      <c r="D7" s="495">
        <f>IFERROR(__xludf.DUMMYFUNCTION("""COMPUTED_VALUE"""),22812.0)</f>
        <v>22812</v>
      </c>
      <c r="E7" s="496">
        <f>IFERROR(__xludf.DUMMYFUNCTION("""COMPUTED_VALUE"""),1938.0)</f>
        <v>1938</v>
      </c>
      <c r="F7" s="497">
        <f>IFERROR(__xludf.DUMMYFUNCTION("""COMPUTED_VALUE"""),0.08495528669121515)</f>
        <v>0.08495528669</v>
      </c>
      <c r="G7" s="495">
        <f>IFERROR(__xludf.DUMMYFUNCTION("""COMPUTED_VALUE"""),31567.81)</f>
        <v>31567.81</v>
      </c>
      <c r="H7" s="496">
        <f>IFERROR(__xludf.DUMMYFUNCTION("""COMPUTED_VALUE"""),-6817.810000000001)</f>
        <v>-6817.81</v>
      </c>
      <c r="I7" s="497">
        <f>IFERROR(__xludf.DUMMYFUNCTION("""COMPUTED_VALUE"""),-0.21597348691594384)</f>
        <v>-0.2159734869</v>
      </c>
      <c r="J7" s="498">
        <f>IFERROR(__xludf.DUMMYFUNCTION("""COMPUTED_VALUE"""),0.318)</f>
        <v>0.318</v>
      </c>
      <c r="K7" s="498">
        <f>IFERROR(__xludf.DUMMYFUNCTION("""COMPUTED_VALUE"""),0.273)</f>
        <v>0.273</v>
      </c>
      <c r="L7" s="499">
        <f>IFERROR(__xludf.DUMMYFUNCTION("""COMPUTED_VALUE"""),0.044999999999999984)</f>
        <v>0.045</v>
      </c>
      <c r="M7" s="500">
        <f>IFERROR(__xludf.DUMMYFUNCTION("""COMPUTED_VALUE"""),0.287)</f>
        <v>0.287</v>
      </c>
      <c r="N7" s="498">
        <f>IFERROR(__xludf.DUMMYFUNCTION("""COMPUTED_VALUE"""),0.267)</f>
        <v>0.267</v>
      </c>
      <c r="O7" s="497">
        <f>IFERROR(__xludf.DUMMYFUNCTION("""COMPUTED_VALUE"""),0.019999999999999962)</f>
        <v>0.02</v>
      </c>
      <c r="P7" s="498">
        <f>IFERROR(__xludf.DUMMYFUNCTION("""COMPUTED_VALUE"""),0.605)</f>
        <v>0.605</v>
      </c>
      <c r="Q7" s="498">
        <f>IFERROR(__xludf.DUMMYFUNCTION("""COMPUTED_VALUE"""),0.54)</f>
        <v>0.54</v>
      </c>
      <c r="R7" s="497">
        <f>IFERROR(__xludf.DUMMYFUNCTION("""COMPUTED_VALUE"""),0.06499999999999995)</f>
        <v>0.065</v>
      </c>
      <c r="S7" s="501"/>
      <c r="T7" s="501"/>
      <c r="U7" s="501"/>
      <c r="V7" s="501"/>
      <c r="W7" s="502"/>
      <c r="X7" s="502"/>
    </row>
    <row r="8">
      <c r="B8" s="503" t="str">
        <f>IFERROR(__xludf.DUMMYFUNCTION("""COMPUTED_VALUE"""),"Totals")</f>
        <v>Totals</v>
      </c>
      <c r="C8" s="504">
        <f>IFERROR(__xludf.DUMMYFUNCTION("""COMPUTED_VALUE"""),133754.0)</f>
        <v>133754</v>
      </c>
      <c r="D8" s="504">
        <f>IFERROR(__xludf.DUMMYFUNCTION("""COMPUTED_VALUE"""),120786.0)</f>
        <v>120786</v>
      </c>
      <c r="E8" s="505">
        <f>IFERROR(__xludf.DUMMYFUNCTION("""COMPUTED_VALUE"""),12968.0)</f>
        <v>12968</v>
      </c>
      <c r="F8" s="491">
        <f>IFERROR(__xludf.DUMMYFUNCTION("""COMPUTED_VALUE"""),0.10736343615981984)</f>
        <v>0.1073634362</v>
      </c>
      <c r="G8" s="504">
        <f>IFERROR(__xludf.DUMMYFUNCTION("""COMPUTED_VALUE"""),156639.53)</f>
        <v>156639.53</v>
      </c>
      <c r="H8" s="506">
        <f>IFERROR(__xludf.DUMMYFUNCTION("""COMPUTED_VALUE"""),-22885.530000000002)</f>
        <v>-22885.53</v>
      </c>
      <c r="I8" s="491">
        <f>IFERROR(__xludf.DUMMYFUNCTION("""COMPUTED_VALUE"""),-0.1461031579959414)</f>
        <v>-0.146103158</v>
      </c>
      <c r="J8" s="507">
        <f>IFERROR(__xludf.DUMMYFUNCTION("""COMPUTED_VALUE"""),0.267)</f>
        <v>0.267</v>
      </c>
      <c r="K8" s="508">
        <f>IFERROR(__xludf.DUMMYFUNCTION("""COMPUTED_VALUE"""),0.267)</f>
        <v>0.267</v>
      </c>
      <c r="L8" s="509">
        <f>IFERROR(__xludf.DUMMYFUNCTION("""COMPUTED_VALUE"""),0.0)</f>
        <v>0</v>
      </c>
      <c r="M8" s="507">
        <f>IFERROR(__xludf.DUMMYFUNCTION("""COMPUTED_VALUE"""),0.284)</f>
        <v>0.284</v>
      </c>
      <c r="N8" s="508">
        <f>IFERROR(__xludf.DUMMYFUNCTION("""COMPUTED_VALUE"""),0.262)</f>
        <v>0.262</v>
      </c>
      <c r="O8" s="491">
        <f>IFERROR(__xludf.DUMMYFUNCTION("""COMPUTED_VALUE"""),0.021999999999999964)</f>
        <v>0.022</v>
      </c>
      <c r="P8" s="508">
        <f>IFERROR(__xludf.DUMMYFUNCTION("""COMPUTED_VALUE"""),0.5509999999999999)</f>
        <v>0.551</v>
      </c>
      <c r="Q8" s="508">
        <f>IFERROR(__xludf.DUMMYFUNCTION("""COMPUTED_VALUE"""),0.529)</f>
        <v>0.529</v>
      </c>
      <c r="R8" s="491">
        <f>IFERROR(__xludf.DUMMYFUNCTION("""COMPUTED_VALUE"""),0.02199999999999991)</f>
        <v>0.022</v>
      </c>
      <c r="S8" s="510"/>
      <c r="T8" s="510"/>
      <c r="U8" s="510"/>
      <c r="V8" s="510"/>
      <c r="W8" s="502"/>
      <c r="X8" s="502"/>
    </row>
    <row r="9">
      <c r="C9" s="281"/>
      <c r="D9" s="281"/>
      <c r="E9" s="281"/>
      <c r="F9" s="281"/>
      <c r="G9" s="281"/>
    </row>
    <row r="10">
      <c r="Y10" s="278"/>
      <c r="AA10" s="493"/>
    </row>
    <row r="11">
      <c r="B11" s="511" t="str">
        <f>IFERROR(__xludf.DUMMYFUNCTION("IMPORTRANGE(""https://docs.google.com/spreadsheets/d/1rvSw8TokJxxMPNo9zCeN0TVGCwqWJYqsUgV1Y381wpc/edit?gid=1529235844#gid=1529235844"",""Weekly in-store leadership metrics!A1:M15"")"),"In-Store Metrics")</f>
        <v>In-Store Metrics</v>
      </c>
      <c r="C11" s="489" t="str">
        <f>IFERROR(__xludf.DUMMYFUNCTION("""COMPUTED_VALUE"""),"Location")</f>
        <v>Location</v>
      </c>
      <c r="D11" s="490" t="str">
        <f>IFERROR(__xludf.DUMMYFUNCTION("""COMPUTED_VALUE"""),"# Reviews")</f>
        <v># Reviews</v>
      </c>
      <c r="E11" s="490" t="str">
        <f>IFERROR(__xludf.DUMMYFUNCTION("""COMPUTED_VALUE"""),"Rating")</f>
        <v>Rating</v>
      </c>
      <c r="F11" s="490" t="str">
        <f>IFERROR(__xludf.DUMMYFUNCTION("""COMPUTED_VALUE"""),"5 Star")</f>
        <v>5 Star</v>
      </c>
      <c r="G11" s="490" t="str">
        <f>IFERROR(__xludf.DUMMYFUNCTION("""COMPUTED_VALUE"""),"4 Star")</f>
        <v>4 Star</v>
      </c>
      <c r="H11" s="490" t="str">
        <f>IFERROR(__xludf.DUMMYFUNCTION("""COMPUTED_VALUE"""),"3 Star")</f>
        <v>3 Star</v>
      </c>
      <c r="I11" s="490" t="str">
        <f>IFERROR(__xludf.DUMMYFUNCTION("""COMPUTED_VALUE"""),"2 Star")</f>
        <v>2 Star</v>
      </c>
      <c r="J11" s="490" t="str">
        <f>IFERROR(__xludf.DUMMYFUNCTION("""COMPUTED_VALUE"""),"1 Star")</f>
        <v>1 Star</v>
      </c>
      <c r="K11" s="490" t="str">
        <f>IFERROR(__xludf.DUMMYFUNCTION("""COMPUTED_VALUE"""),"Yelp")</f>
        <v>Yelp</v>
      </c>
      <c r="L11" s="490" t="str">
        <f>IFERROR(__xludf.DUMMYFUNCTION("""COMPUTED_VALUE"""),"Yelp #")</f>
        <v>Yelp #</v>
      </c>
      <c r="M11" s="490" t="str">
        <f>IFERROR(__xludf.DUMMYFUNCTION("""COMPUTED_VALUE"""),"Google")</f>
        <v>Google</v>
      </c>
      <c r="N11" s="490" t="str">
        <f>IFERROR(__xludf.DUMMYFUNCTION("""COMPUTED_VALUE"""),"Google #")</f>
        <v>Google #</v>
      </c>
      <c r="U11" s="492"/>
      <c r="V11" s="492"/>
      <c r="W11" s="492"/>
      <c r="Y11" s="278"/>
    </row>
    <row r="12">
      <c r="B12" s="280" t="str">
        <f>IFERROR(__xludf.DUMMYFUNCTION("""COMPUTED_VALUE"""),"Weekly")</f>
        <v>Weekly</v>
      </c>
      <c r="C12" s="512" t="str">
        <f>IFERROR(__xludf.DUMMYFUNCTION("""COMPUTED_VALUE"""),"Ballpark")</f>
        <v>Ballpark</v>
      </c>
      <c r="D12" s="513">
        <f>IFERROR(__xludf.DUMMYFUNCTION("""COMPUTED_VALUE"""),3.0)</f>
        <v>3</v>
      </c>
      <c r="E12" s="514">
        <f>IFERROR(__xludf.DUMMYFUNCTION("""COMPUTED_VALUE"""),4.3)</f>
        <v>4.3</v>
      </c>
      <c r="F12" s="513">
        <f>IFERROR(__xludf.DUMMYFUNCTION("""COMPUTED_VALUE"""),2.0)</f>
        <v>2</v>
      </c>
      <c r="G12" s="513">
        <f>IFERROR(__xludf.DUMMYFUNCTION("""COMPUTED_VALUE"""),0.0)</f>
        <v>0</v>
      </c>
      <c r="H12" s="513">
        <f>IFERROR(__xludf.DUMMYFUNCTION("""COMPUTED_VALUE"""),1.0)</f>
        <v>1</v>
      </c>
      <c r="I12" s="513">
        <f>IFERROR(__xludf.DUMMYFUNCTION("""COMPUTED_VALUE"""),0.0)</f>
        <v>0</v>
      </c>
      <c r="J12" s="513">
        <f>IFERROR(__xludf.DUMMYFUNCTION("""COMPUTED_VALUE"""),0.0)</f>
        <v>0</v>
      </c>
      <c r="K12" s="515" t="str">
        <f>IFERROR(__xludf.DUMMYFUNCTION("""COMPUTED_VALUE"""),"NA")</f>
        <v>NA</v>
      </c>
      <c r="L12" s="513">
        <f>IFERROR(__xludf.DUMMYFUNCTION("""COMPUTED_VALUE"""),0.0)</f>
        <v>0</v>
      </c>
      <c r="M12" s="515">
        <f>IFERROR(__xludf.DUMMYFUNCTION("""COMPUTED_VALUE"""),4.33)</f>
        <v>4.33</v>
      </c>
      <c r="N12" s="513">
        <f>IFERROR(__xludf.DUMMYFUNCTION("""COMPUTED_VALUE"""),3.0)</f>
        <v>3</v>
      </c>
      <c r="U12" s="501"/>
      <c r="V12" s="501"/>
      <c r="W12" s="501"/>
    </row>
    <row r="13">
      <c r="B13" s="280" t="str">
        <f>IFERROR(__xludf.DUMMYFUNCTION("""COMPUTED_VALUE"""),"Yelp and Google")</f>
        <v>Yelp and Google</v>
      </c>
      <c r="C13" s="512" t="str">
        <f>IFERROR(__xludf.DUMMYFUNCTION("""COMPUTED_VALUE"""),"MVT")</f>
        <v>MVT</v>
      </c>
      <c r="D13" s="513">
        <f>IFERROR(__xludf.DUMMYFUNCTION("""COMPUTED_VALUE"""),4.0)</f>
        <v>4</v>
      </c>
      <c r="E13" s="514">
        <f>IFERROR(__xludf.DUMMYFUNCTION("""COMPUTED_VALUE"""),1.5)</f>
        <v>1.5</v>
      </c>
      <c r="F13" s="513">
        <f>IFERROR(__xludf.DUMMYFUNCTION("""COMPUTED_VALUE"""),0.0)</f>
        <v>0</v>
      </c>
      <c r="G13" s="513">
        <f>IFERROR(__xludf.DUMMYFUNCTION("""COMPUTED_VALUE"""),0.0)</f>
        <v>0</v>
      </c>
      <c r="H13" s="513">
        <f>IFERROR(__xludf.DUMMYFUNCTION("""COMPUTED_VALUE"""),1.0)</f>
        <v>1</v>
      </c>
      <c r="I13" s="513">
        <f>IFERROR(__xludf.DUMMYFUNCTION("""COMPUTED_VALUE"""),0.0)</f>
        <v>0</v>
      </c>
      <c r="J13" s="513">
        <f>IFERROR(__xludf.DUMMYFUNCTION("""COMPUTED_VALUE"""),3.0)</f>
        <v>3</v>
      </c>
      <c r="K13" s="515">
        <f>IFERROR(__xludf.DUMMYFUNCTION("""COMPUTED_VALUE"""),3.0)</f>
        <v>3</v>
      </c>
      <c r="L13" s="513">
        <f>IFERROR(__xludf.DUMMYFUNCTION("""COMPUTED_VALUE"""),1.0)</f>
        <v>1</v>
      </c>
      <c r="M13" s="515">
        <f>IFERROR(__xludf.DUMMYFUNCTION("""COMPUTED_VALUE"""),1.0)</f>
        <v>1</v>
      </c>
      <c r="N13" s="513">
        <f>IFERROR(__xludf.DUMMYFUNCTION("""COMPUTED_VALUE"""),3.0)</f>
        <v>3</v>
      </c>
      <c r="U13" s="501"/>
      <c r="V13" s="501"/>
      <c r="W13" s="501"/>
    </row>
    <row r="14">
      <c r="B14" s="280"/>
      <c r="C14" s="512" t="str">
        <f>IFERROR(__xludf.DUMMYFUNCTION("""COMPUTED_VALUE"""),"NL")</f>
        <v>NL</v>
      </c>
      <c r="D14" s="513">
        <f>IFERROR(__xludf.DUMMYFUNCTION("""COMPUTED_VALUE"""),2.0)</f>
        <v>2</v>
      </c>
      <c r="E14" s="514">
        <f>IFERROR(__xludf.DUMMYFUNCTION("""COMPUTED_VALUE"""),3.0)</f>
        <v>3</v>
      </c>
      <c r="F14" s="513">
        <f>IFERROR(__xludf.DUMMYFUNCTION("""COMPUTED_VALUE"""),1.0)</f>
        <v>1</v>
      </c>
      <c r="G14" s="513">
        <f>IFERROR(__xludf.DUMMYFUNCTION("""COMPUTED_VALUE"""),0.0)</f>
        <v>0</v>
      </c>
      <c r="H14" s="513">
        <f>IFERROR(__xludf.DUMMYFUNCTION("""COMPUTED_VALUE"""),0.0)</f>
        <v>0</v>
      </c>
      <c r="I14" s="513">
        <f>IFERROR(__xludf.DUMMYFUNCTION("""COMPUTED_VALUE"""),0.0)</f>
        <v>0</v>
      </c>
      <c r="J14" s="513">
        <f>IFERROR(__xludf.DUMMYFUNCTION("""COMPUTED_VALUE"""),1.0)</f>
        <v>1</v>
      </c>
      <c r="K14" s="515" t="str">
        <f>IFERROR(__xludf.DUMMYFUNCTION("""COMPUTED_VALUE"""),"NA")</f>
        <v>NA</v>
      </c>
      <c r="L14" s="513">
        <f>IFERROR(__xludf.DUMMYFUNCTION("""COMPUTED_VALUE"""),0.0)</f>
        <v>0</v>
      </c>
      <c r="M14" s="515">
        <f>IFERROR(__xludf.DUMMYFUNCTION("""COMPUTED_VALUE"""),3.0)</f>
        <v>3</v>
      </c>
      <c r="N14" s="513">
        <f>IFERROR(__xludf.DUMMYFUNCTION("""COMPUTED_VALUE"""),2.0)</f>
        <v>2</v>
      </c>
      <c r="U14" s="501"/>
      <c r="V14" s="501"/>
      <c r="W14" s="501"/>
    </row>
    <row r="15">
      <c r="B15" s="280"/>
      <c r="C15" s="512" t="str">
        <f>IFERROR(__xludf.DUMMYFUNCTION("""COMPUTED_VALUE"""),"Mosaic")</f>
        <v>Mosaic</v>
      </c>
      <c r="D15" s="513">
        <f>IFERROR(__xludf.DUMMYFUNCTION("""COMPUTED_VALUE"""),1.0)</f>
        <v>1</v>
      </c>
      <c r="E15" s="514">
        <f>IFERROR(__xludf.DUMMYFUNCTION("""COMPUTED_VALUE"""),2.0)</f>
        <v>2</v>
      </c>
      <c r="F15" s="513">
        <f>IFERROR(__xludf.DUMMYFUNCTION("""COMPUTED_VALUE"""),0.0)</f>
        <v>0</v>
      </c>
      <c r="G15" s="513">
        <f>IFERROR(__xludf.DUMMYFUNCTION("""COMPUTED_VALUE"""),0.0)</f>
        <v>0</v>
      </c>
      <c r="H15" s="513">
        <f>IFERROR(__xludf.DUMMYFUNCTION("""COMPUTED_VALUE"""),0.0)</f>
        <v>0</v>
      </c>
      <c r="I15" s="513">
        <f>IFERROR(__xludf.DUMMYFUNCTION("""COMPUTED_VALUE"""),1.0)</f>
        <v>1</v>
      </c>
      <c r="J15" s="513">
        <f>IFERROR(__xludf.DUMMYFUNCTION("""COMPUTED_VALUE"""),0.0)</f>
        <v>0</v>
      </c>
      <c r="K15" s="515" t="str">
        <f>IFERROR(__xludf.DUMMYFUNCTION("""COMPUTED_VALUE"""),"NA")</f>
        <v>NA</v>
      </c>
      <c r="L15" s="513">
        <f>IFERROR(__xludf.DUMMYFUNCTION("""COMPUTED_VALUE"""),0.0)</f>
        <v>0</v>
      </c>
      <c r="M15" s="515">
        <f>IFERROR(__xludf.DUMMYFUNCTION("""COMPUTED_VALUE"""),2.0)</f>
        <v>2</v>
      </c>
      <c r="N15" s="513">
        <f>IFERROR(__xludf.DUMMYFUNCTION("""COMPUTED_VALUE"""),1.0)</f>
        <v>1</v>
      </c>
      <c r="U15" s="501"/>
      <c r="V15" s="501"/>
      <c r="W15" s="501"/>
    </row>
    <row r="16">
      <c r="B16" s="280"/>
      <c r="C16" s="512" t="str">
        <f>IFERROR(__xludf.DUMMYFUNCTION("""COMPUTED_VALUE"""),"Rockville")</f>
        <v>Rockville</v>
      </c>
      <c r="D16" s="513">
        <f>IFERROR(__xludf.DUMMYFUNCTION("""COMPUTED_VALUE"""),3.0)</f>
        <v>3</v>
      </c>
      <c r="E16" s="514">
        <f>IFERROR(__xludf.DUMMYFUNCTION("""COMPUTED_VALUE"""),5.0)</f>
        <v>5</v>
      </c>
      <c r="F16" s="513">
        <f>IFERROR(__xludf.DUMMYFUNCTION("""COMPUTED_VALUE"""),3.0)</f>
        <v>3</v>
      </c>
      <c r="G16" s="513">
        <f>IFERROR(__xludf.DUMMYFUNCTION("""COMPUTED_VALUE"""),0.0)</f>
        <v>0</v>
      </c>
      <c r="H16" s="513">
        <f>IFERROR(__xludf.DUMMYFUNCTION("""COMPUTED_VALUE"""),0.0)</f>
        <v>0</v>
      </c>
      <c r="I16" s="513">
        <f>IFERROR(__xludf.DUMMYFUNCTION("""COMPUTED_VALUE"""),0.0)</f>
        <v>0</v>
      </c>
      <c r="J16" s="513">
        <f>IFERROR(__xludf.DUMMYFUNCTION("""COMPUTED_VALUE"""),0.0)</f>
        <v>0</v>
      </c>
      <c r="K16" s="515" t="str">
        <f>IFERROR(__xludf.DUMMYFUNCTION("""COMPUTED_VALUE"""),"NA")</f>
        <v>NA</v>
      </c>
      <c r="L16" s="513">
        <f>IFERROR(__xludf.DUMMYFUNCTION("""COMPUTED_VALUE"""),0.0)</f>
        <v>0</v>
      </c>
      <c r="M16" s="515">
        <f>IFERROR(__xludf.DUMMYFUNCTION("""COMPUTED_VALUE"""),5.0)</f>
        <v>5</v>
      </c>
      <c r="N16" s="513">
        <f>IFERROR(__xludf.DUMMYFUNCTION("""COMPUTED_VALUE"""),3.0)</f>
        <v>3</v>
      </c>
      <c r="U16" s="501"/>
      <c r="V16" s="501"/>
      <c r="W16" s="501"/>
    </row>
    <row r="17">
      <c r="B17" s="516"/>
      <c r="C17" s="489" t="str">
        <f>IFERROR(__xludf.DUMMYFUNCTION("""COMPUTED_VALUE"""),"Total")</f>
        <v>Total</v>
      </c>
      <c r="D17" s="517">
        <f>IFERROR(__xludf.DUMMYFUNCTION("""COMPUTED_VALUE"""),13.0)</f>
        <v>13</v>
      </c>
      <c r="E17" s="518">
        <f>IFERROR(__xludf.DUMMYFUNCTION("""COMPUTED_VALUE"""),4.14)</f>
        <v>4.14</v>
      </c>
      <c r="F17" s="517">
        <f>IFERROR(__xludf.DUMMYFUNCTION("""COMPUTED_VALUE"""),6.0)</f>
        <v>6</v>
      </c>
      <c r="G17" s="517">
        <f>IFERROR(__xludf.DUMMYFUNCTION("""COMPUTED_VALUE"""),0.0)</f>
        <v>0</v>
      </c>
      <c r="H17" s="517">
        <f>IFERROR(__xludf.DUMMYFUNCTION("""COMPUTED_VALUE"""),2.0)</f>
        <v>2</v>
      </c>
      <c r="I17" s="517">
        <f>IFERROR(__xludf.DUMMYFUNCTION("""COMPUTED_VALUE"""),1.0)</f>
        <v>1</v>
      </c>
      <c r="J17" s="517">
        <f>IFERROR(__xludf.DUMMYFUNCTION("""COMPUTED_VALUE"""),4.0)</f>
        <v>4</v>
      </c>
      <c r="K17" s="518">
        <f>IFERROR(__xludf.DUMMYFUNCTION("""COMPUTED_VALUE"""),3.0)</f>
        <v>3</v>
      </c>
      <c r="L17" s="490">
        <f>IFERROR(__xludf.DUMMYFUNCTION("""COMPUTED_VALUE"""),1.0)</f>
        <v>1</v>
      </c>
      <c r="M17" s="518">
        <f>IFERROR(__xludf.DUMMYFUNCTION("""COMPUTED_VALUE"""),3.25)</f>
        <v>3.25</v>
      </c>
      <c r="N17" s="490">
        <f>IFERROR(__xludf.DUMMYFUNCTION("""COMPUTED_VALUE"""),12.0)</f>
        <v>12</v>
      </c>
      <c r="U17" s="510"/>
      <c r="V17" s="510"/>
      <c r="W17" s="510"/>
    </row>
    <row r="18"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</row>
    <row r="19">
      <c r="B19" s="511" t="str">
        <f>IFERROR(__xludf.DUMMYFUNCTION("""COMPUTED_VALUE"""),"3rd Party Metrics")</f>
        <v>3rd Party Metrics</v>
      </c>
      <c r="C19" s="489" t="str">
        <f>IFERROR(__xludf.DUMMYFUNCTION("""COMPUTED_VALUE"""),"Location")</f>
        <v>Location</v>
      </c>
      <c r="D19" s="490" t="str">
        <f>IFERROR(__xludf.DUMMYFUNCTION("""COMPUTED_VALUE"""),"# Reviews")</f>
        <v># Reviews</v>
      </c>
      <c r="E19" s="490" t="str">
        <f>IFERROR(__xludf.DUMMYFUNCTION("""COMPUTED_VALUE"""),"Rating")</f>
        <v>Rating</v>
      </c>
      <c r="F19" s="490" t="str">
        <f>IFERROR(__xludf.DUMMYFUNCTION("""COMPUTED_VALUE"""),"5 Star")</f>
        <v>5 Star</v>
      </c>
      <c r="G19" s="490" t="str">
        <f>IFERROR(__xludf.DUMMYFUNCTION("""COMPUTED_VALUE"""),"4 Star")</f>
        <v>4 Star</v>
      </c>
      <c r="H19" s="490" t="str">
        <f>IFERROR(__xludf.DUMMYFUNCTION("""COMPUTED_VALUE"""),"3 Star")</f>
        <v>3 Star</v>
      </c>
      <c r="I19" s="490" t="str">
        <f>IFERROR(__xludf.DUMMYFUNCTION("""COMPUTED_VALUE"""),"2 Star")</f>
        <v>2 Star</v>
      </c>
      <c r="J19" s="490" t="str">
        <f>IFERROR(__xludf.DUMMYFUNCTION("""COMPUTED_VALUE"""),"1 Star")</f>
        <v>1 Star</v>
      </c>
      <c r="K19" s="490" t="str">
        <f>IFERROR(__xludf.DUMMYFUNCTION("""COMPUTED_VALUE"""),"Uber")</f>
        <v>Uber</v>
      </c>
      <c r="L19" s="490" t="str">
        <f>IFERROR(__xludf.DUMMYFUNCTION("""COMPUTED_VALUE"""),"DD")</f>
        <v>DD</v>
      </c>
      <c r="M19" s="490" t="str">
        <f>IFERROR(__xludf.DUMMYFUNCTION("""COMPUTED_VALUE"""),"GH")</f>
        <v>GH</v>
      </c>
      <c r="N19" s="490" t="str">
        <f>IFERROR(__xludf.DUMMYFUNCTION("""COMPUTED_VALUE"""),"Error Rate")</f>
        <v>Error Rate</v>
      </c>
      <c r="Y19" s="278"/>
    </row>
    <row r="20">
      <c r="B20" s="280" t="str">
        <f>IFERROR(__xludf.DUMMYFUNCTION("""COMPUTED_VALUE"""),"Weekly")</f>
        <v>Weekly</v>
      </c>
      <c r="C20" s="512" t="str">
        <f>IFERROR(__xludf.DUMMYFUNCTION("""COMPUTED_VALUE"""),"Ballpark")</f>
        <v>Ballpark</v>
      </c>
      <c r="D20" s="513">
        <f>IFERROR(__xludf.DUMMYFUNCTION("""COMPUTED_VALUE"""),12.0)</f>
        <v>12</v>
      </c>
      <c r="E20" s="519">
        <f>IFERROR(__xludf.DUMMYFUNCTION("""COMPUTED_VALUE"""),4.3)</f>
        <v>4.3</v>
      </c>
      <c r="F20" s="513">
        <f>IFERROR(__xludf.DUMMYFUNCTION("""COMPUTED_VALUE"""),6.0)</f>
        <v>6</v>
      </c>
      <c r="G20" s="513">
        <f>IFERROR(__xludf.DUMMYFUNCTION("""COMPUTED_VALUE"""),4.0)</f>
        <v>4</v>
      </c>
      <c r="H20" s="513">
        <f>IFERROR(__xludf.DUMMYFUNCTION("""COMPUTED_VALUE"""),1.0)</f>
        <v>1</v>
      </c>
      <c r="I20" s="513">
        <f>IFERROR(__xludf.DUMMYFUNCTION("""COMPUTED_VALUE"""),1.0)</f>
        <v>1</v>
      </c>
      <c r="J20" s="513">
        <f>IFERROR(__xludf.DUMMYFUNCTION("""COMPUTED_VALUE"""),0.0)</f>
        <v>0</v>
      </c>
      <c r="K20" s="520">
        <f>IFERROR(__xludf.DUMMYFUNCTION("""COMPUTED_VALUE"""),4.33)</f>
        <v>4.33</v>
      </c>
      <c r="L20" s="520">
        <f>IFERROR(__xludf.DUMMYFUNCTION("""COMPUTED_VALUE"""),3.0)</f>
        <v>3</v>
      </c>
      <c r="M20" s="521" t="str">
        <f>IFERROR(__xludf.DUMMYFUNCTION("""COMPUTED_VALUE"""),"NA")</f>
        <v>NA</v>
      </c>
      <c r="N20" s="498">
        <f>IFERROR(__xludf.DUMMYFUNCTION("""COMPUTED_VALUE"""),0.0381)</f>
        <v>0.0381</v>
      </c>
      <c r="Y20" s="278"/>
    </row>
    <row r="21">
      <c r="B21" s="280" t="str">
        <f>IFERROR(__xludf.DUMMYFUNCTION("""COMPUTED_VALUE"""),"UE / DD / GH")</f>
        <v>UE / DD / GH</v>
      </c>
      <c r="C21" s="512" t="str">
        <f>IFERROR(__xludf.DUMMYFUNCTION("""COMPUTED_VALUE"""),"MVT")</f>
        <v>MVT</v>
      </c>
      <c r="D21" s="513">
        <f>IFERROR(__xludf.DUMMYFUNCTION("""COMPUTED_VALUE"""),29.0)</f>
        <v>29</v>
      </c>
      <c r="E21" s="519">
        <f>IFERROR(__xludf.DUMMYFUNCTION("""COMPUTED_VALUE"""),4.6)</f>
        <v>4.6</v>
      </c>
      <c r="F21" s="513">
        <f>IFERROR(__xludf.DUMMYFUNCTION("""COMPUTED_VALUE"""),19.0)</f>
        <v>19</v>
      </c>
      <c r="G21" s="513">
        <f>IFERROR(__xludf.DUMMYFUNCTION("""COMPUTED_VALUE"""),9.0)</f>
        <v>9</v>
      </c>
      <c r="H21" s="513">
        <f>IFERROR(__xludf.DUMMYFUNCTION("""COMPUTED_VALUE"""),1.0)</f>
        <v>1</v>
      </c>
      <c r="I21" s="513">
        <f>IFERROR(__xludf.DUMMYFUNCTION("""COMPUTED_VALUE"""),0.0)</f>
        <v>0</v>
      </c>
      <c r="J21" s="513">
        <f>IFERROR(__xludf.DUMMYFUNCTION("""COMPUTED_VALUE"""),0.0)</f>
        <v>0</v>
      </c>
      <c r="K21" s="520">
        <f>IFERROR(__xludf.DUMMYFUNCTION("""COMPUTED_VALUE"""),4.81)</f>
        <v>4.81</v>
      </c>
      <c r="L21" s="520">
        <f>IFERROR(__xludf.DUMMYFUNCTION("""COMPUTED_VALUE"""),4.2)</f>
        <v>4.2</v>
      </c>
      <c r="M21" s="521" t="str">
        <f>IFERROR(__xludf.DUMMYFUNCTION("""COMPUTED_VALUE"""),"NA")</f>
        <v>NA</v>
      </c>
      <c r="N21" s="498">
        <f>IFERROR(__xludf.DUMMYFUNCTION("""COMPUTED_VALUE"""),0.0292)</f>
        <v>0.0292</v>
      </c>
      <c r="Y21" s="278"/>
    </row>
    <row r="22">
      <c r="B22" s="280"/>
      <c r="C22" s="512" t="str">
        <f>IFERROR(__xludf.DUMMYFUNCTION("""COMPUTED_VALUE"""),"NL")</f>
        <v>NL</v>
      </c>
      <c r="D22" s="513">
        <f>IFERROR(__xludf.DUMMYFUNCTION("""COMPUTED_VALUE"""),13.0)</f>
        <v>13</v>
      </c>
      <c r="E22" s="519">
        <f>IFERROR(__xludf.DUMMYFUNCTION("""COMPUTED_VALUE"""),4.5)</f>
        <v>4.5</v>
      </c>
      <c r="F22" s="513">
        <f>IFERROR(__xludf.DUMMYFUNCTION("""COMPUTED_VALUE"""),7.0)</f>
        <v>7</v>
      </c>
      <c r="G22" s="513">
        <f>IFERROR(__xludf.DUMMYFUNCTION("""COMPUTED_VALUE"""),5.0)</f>
        <v>5</v>
      </c>
      <c r="H22" s="513">
        <f>IFERROR(__xludf.DUMMYFUNCTION("""COMPUTED_VALUE"""),1.0)</f>
        <v>1</v>
      </c>
      <c r="I22" s="513">
        <f>IFERROR(__xludf.DUMMYFUNCTION("""COMPUTED_VALUE"""),0.0)</f>
        <v>0</v>
      </c>
      <c r="J22" s="513">
        <f>IFERROR(__xludf.DUMMYFUNCTION("""COMPUTED_VALUE"""),0.0)</f>
        <v>0</v>
      </c>
      <c r="K22" s="520">
        <f>IFERROR(__xludf.DUMMYFUNCTION("""COMPUTED_VALUE"""),4.4)</f>
        <v>4.4</v>
      </c>
      <c r="L22" s="520">
        <f>IFERROR(__xludf.DUMMYFUNCTION("""COMPUTED_VALUE"""),4.5)</f>
        <v>4.5</v>
      </c>
      <c r="M22" s="521" t="str">
        <f>IFERROR(__xludf.DUMMYFUNCTION("""COMPUTED_VALUE"""),"NA")</f>
        <v>NA</v>
      </c>
      <c r="N22" s="498">
        <f>IFERROR(__xludf.DUMMYFUNCTION("""COMPUTED_VALUE"""),0.0222)</f>
        <v>0.0222</v>
      </c>
      <c r="Y22" s="278"/>
    </row>
    <row r="23">
      <c r="B23" s="280"/>
      <c r="C23" s="512" t="str">
        <f>IFERROR(__xludf.DUMMYFUNCTION("""COMPUTED_VALUE"""),"Mosaic")</f>
        <v>Mosaic</v>
      </c>
      <c r="D23" s="513">
        <f>IFERROR(__xludf.DUMMYFUNCTION("""COMPUTED_VALUE"""),12.0)</f>
        <v>12</v>
      </c>
      <c r="E23" s="519">
        <f>IFERROR(__xludf.DUMMYFUNCTION("""COMPUTED_VALUE"""),4.3)</f>
        <v>4.3</v>
      </c>
      <c r="F23" s="513">
        <f>IFERROR(__xludf.DUMMYFUNCTION("""COMPUTED_VALUE"""),6.0)</f>
        <v>6</v>
      </c>
      <c r="G23" s="513">
        <f>IFERROR(__xludf.DUMMYFUNCTION("""COMPUTED_VALUE"""),5.0)</f>
        <v>5</v>
      </c>
      <c r="H23" s="513">
        <f>IFERROR(__xludf.DUMMYFUNCTION("""COMPUTED_VALUE"""),0.0)</f>
        <v>0</v>
      </c>
      <c r="I23" s="513">
        <f>IFERROR(__xludf.DUMMYFUNCTION("""COMPUTED_VALUE"""),1.0)</f>
        <v>1</v>
      </c>
      <c r="J23" s="513">
        <f>IFERROR(__xludf.DUMMYFUNCTION("""COMPUTED_VALUE"""),0.0)</f>
        <v>0</v>
      </c>
      <c r="K23" s="520">
        <f>IFERROR(__xludf.DUMMYFUNCTION("""COMPUTED_VALUE"""),5.0)</f>
        <v>5</v>
      </c>
      <c r="L23" s="520">
        <f>IFERROR(__xludf.DUMMYFUNCTION("""COMPUTED_VALUE"""),4.2)</f>
        <v>4.2</v>
      </c>
      <c r="M23" s="521" t="str">
        <f>IFERROR(__xludf.DUMMYFUNCTION("""COMPUTED_VALUE"""),"NA")</f>
        <v>NA</v>
      </c>
      <c r="N23" s="498">
        <f>IFERROR(__xludf.DUMMYFUNCTION("""COMPUTED_VALUE"""),0.0074)</f>
        <v>0.0074</v>
      </c>
      <c r="Y23" s="278"/>
    </row>
    <row r="24">
      <c r="B24" s="280"/>
      <c r="C24" s="512" t="str">
        <f>IFERROR(__xludf.DUMMYFUNCTION("""COMPUTED_VALUE"""),"Rockville")</f>
        <v>Rockville</v>
      </c>
      <c r="D24" s="513">
        <f>IFERROR(__xludf.DUMMYFUNCTION("""COMPUTED_VALUE"""),12.0)</f>
        <v>12</v>
      </c>
      <c r="E24" s="519">
        <f>IFERROR(__xludf.DUMMYFUNCTION("""COMPUTED_VALUE"""),4.0)</f>
        <v>4</v>
      </c>
      <c r="F24" s="513">
        <f>IFERROR(__xludf.DUMMYFUNCTION("""COMPUTED_VALUE"""),4.0)</f>
        <v>4</v>
      </c>
      <c r="G24" s="513">
        <f>IFERROR(__xludf.DUMMYFUNCTION("""COMPUTED_VALUE"""),6.0)</f>
        <v>6</v>
      </c>
      <c r="H24" s="513">
        <f>IFERROR(__xludf.DUMMYFUNCTION("""COMPUTED_VALUE"""),0.0)</f>
        <v>0</v>
      </c>
      <c r="I24" s="513">
        <f>IFERROR(__xludf.DUMMYFUNCTION("""COMPUTED_VALUE"""),2.0)</f>
        <v>2</v>
      </c>
      <c r="J24" s="513">
        <f>IFERROR(__xludf.DUMMYFUNCTION("""COMPUTED_VALUE"""),0.0)</f>
        <v>0</v>
      </c>
      <c r="K24" s="520">
        <f>IFERROR(__xludf.DUMMYFUNCTION("""COMPUTED_VALUE"""),4.8)</f>
        <v>4.8</v>
      </c>
      <c r="L24" s="520">
        <f>IFERROR(__xludf.DUMMYFUNCTION("""COMPUTED_VALUE"""),3.2)</f>
        <v>3.2</v>
      </c>
      <c r="M24" s="521" t="str">
        <f>IFERROR(__xludf.DUMMYFUNCTION("""COMPUTED_VALUE"""),"NA")</f>
        <v>NA</v>
      </c>
      <c r="N24" s="498">
        <f>IFERROR(__xludf.DUMMYFUNCTION("""COMPUTED_VALUE"""),0.027)</f>
        <v>0.027</v>
      </c>
      <c r="Y24" s="278"/>
    </row>
    <row r="25">
      <c r="B25" s="516"/>
      <c r="C25" s="489" t="str">
        <f>IFERROR(__xludf.DUMMYFUNCTION("""COMPUTED_VALUE"""),"Total")</f>
        <v>Total</v>
      </c>
      <c r="D25" s="517">
        <f>IFERROR(__xludf.DUMMYFUNCTION("""COMPUTED_VALUE"""),78.0)</f>
        <v>78</v>
      </c>
      <c r="E25" s="522">
        <f>IFERROR(__xludf.DUMMYFUNCTION("""COMPUTED_VALUE"""),4.34)</f>
        <v>4.34</v>
      </c>
      <c r="F25" s="517">
        <f>IFERROR(__xludf.DUMMYFUNCTION("""COMPUTED_VALUE"""),42.0)</f>
        <v>42</v>
      </c>
      <c r="G25" s="517">
        <f>IFERROR(__xludf.DUMMYFUNCTION("""COMPUTED_VALUE"""),29.0)</f>
        <v>29</v>
      </c>
      <c r="H25" s="517">
        <f>IFERROR(__xludf.DUMMYFUNCTION("""COMPUTED_VALUE"""),3.0)</f>
        <v>3</v>
      </c>
      <c r="I25" s="517">
        <f>IFERROR(__xludf.DUMMYFUNCTION("""COMPUTED_VALUE"""),4.0)</f>
        <v>4</v>
      </c>
      <c r="J25" s="517">
        <f>IFERROR(__xludf.DUMMYFUNCTION("""COMPUTED_VALUE"""),0.0)</f>
        <v>0</v>
      </c>
      <c r="K25" s="518">
        <f>IFERROR(__xludf.DUMMYFUNCTION("""COMPUTED_VALUE"""),4.64)</f>
        <v>4.64</v>
      </c>
      <c r="L25" s="518">
        <f>IFERROR(__xludf.DUMMYFUNCTION("""COMPUTED_VALUE"""),4.18)</f>
        <v>4.18</v>
      </c>
      <c r="M25" s="490" t="str">
        <f>IFERROR(__xludf.DUMMYFUNCTION("""COMPUTED_VALUE"""),"NA")</f>
        <v>NA</v>
      </c>
      <c r="N25" s="508">
        <f>IFERROR(__xludf.DUMMYFUNCTION("""COMPUTED_VALUE"""),0.02478)</f>
        <v>0.02478</v>
      </c>
      <c r="Y25" s="278"/>
    </row>
    <row r="26">
      <c r="Y26" s="278"/>
    </row>
    <row r="27">
      <c r="B27" s="523" t="s">
        <v>156</v>
      </c>
      <c r="J27" s="493"/>
      <c r="K27" s="493"/>
      <c r="Y27" s="278"/>
    </row>
    <row r="28">
      <c r="C28" s="524" t="s">
        <v>157</v>
      </c>
      <c r="D28" s="32"/>
      <c r="E28" s="524" t="s">
        <v>158</v>
      </c>
      <c r="F28" s="32"/>
      <c r="H28" s="525"/>
      <c r="J28" s="493"/>
      <c r="K28" s="493"/>
      <c r="Y28" s="278"/>
    </row>
    <row r="29">
      <c r="B29" s="489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90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90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90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526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526" t="s">
        <v>159</v>
      </c>
      <c r="H29" s="526" t="s">
        <v>160</v>
      </c>
      <c r="J29" s="492"/>
      <c r="K29" s="527"/>
      <c r="Y29" s="278"/>
    </row>
    <row r="30">
      <c r="B30" s="528" t="str">
        <f>IFERROR(__xludf.DUMMYFUNCTION("""COMPUTED_VALUE"""),"Rockville")</f>
        <v>Rockville</v>
      </c>
      <c r="C30" s="513" t="str">
        <f>IFERROR(__xludf.DUMMYFUNCTION("""COMPUTED_VALUE"""),"0 min 38 sec")</f>
        <v>0 min 38 sec</v>
      </c>
      <c r="D30" s="513">
        <f>IFERROR(__xludf.DUMMYFUNCTION("""COMPUTED_VALUE"""),61.0)</f>
        <v>61</v>
      </c>
      <c r="E30" s="513" t="str">
        <f>IFERROR(__xludf.DUMMYFUNCTION("""COMPUTED_VALUE"""),"2 min 25 sec")</f>
        <v>2 min 25 sec</v>
      </c>
      <c r="F30" s="521">
        <f>IFERROR(__xludf.DUMMYFUNCTION("""COMPUTED_VALUE"""),81.0)</f>
        <v>81</v>
      </c>
      <c r="G30" s="513" t="str">
        <f t="shared" ref="G30:G35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39 sec</v>
      </c>
      <c r="H30" s="529">
        <f t="shared" ref="H30:H35" si="2">ROUND(VALUE(LEFT(G30,FIND(" min",G30)-1)) + VALUE(MID(G30,FIND("min",G30)+4,FIND("sec",G30)-FIND("min",G30)-4))/60, 2)</f>
        <v>1.65</v>
      </c>
      <c r="J30" s="501"/>
      <c r="K30" s="530"/>
      <c r="Y30" s="278"/>
    </row>
    <row r="31">
      <c r="B31" s="528" t="str">
        <f>IFERROR(__xludf.DUMMYFUNCTION("""COMPUTED_VALUE"""),"Ballpark")</f>
        <v>Ballpark</v>
      </c>
      <c r="C31" s="513" t="str">
        <f>IFERROR(__xludf.DUMMYFUNCTION("""COMPUTED_VALUE"""),"0 min 51 sec")</f>
        <v>0 min 51 sec</v>
      </c>
      <c r="D31" s="513">
        <f>IFERROR(__xludf.DUMMYFUNCTION("""COMPUTED_VALUE"""),53.0)</f>
        <v>53</v>
      </c>
      <c r="E31" s="513" t="str">
        <f>IFERROR(__xludf.DUMMYFUNCTION("""COMPUTED_VALUE"""),"4 min 10 sec")</f>
        <v>4 min 10 sec</v>
      </c>
      <c r="F31" s="521">
        <f>IFERROR(__xludf.DUMMYFUNCTION("""COMPUTED_VALUE"""),51.0)</f>
        <v>51</v>
      </c>
      <c r="G31" s="513" t="str">
        <f t="shared" si="1"/>
        <v>2 min 29 sec</v>
      </c>
      <c r="H31" s="529">
        <f t="shared" si="2"/>
        <v>2.48</v>
      </c>
      <c r="J31" s="501"/>
      <c r="K31" s="530"/>
      <c r="Y31" s="278"/>
    </row>
    <row r="32">
      <c r="B32" s="528" t="str">
        <f>IFERROR(__xludf.DUMMYFUNCTION("""COMPUTED_VALUE"""),"MVT")</f>
        <v>MVT</v>
      </c>
      <c r="C32" s="513" t="str">
        <f>IFERROR(__xludf.DUMMYFUNCTION("""COMPUTED_VALUE"""),"0 min 36 sec")</f>
        <v>0 min 36 sec</v>
      </c>
      <c r="D32" s="513">
        <f>IFERROR(__xludf.DUMMYFUNCTION("""COMPUTED_VALUE"""),159.0)</f>
        <v>159</v>
      </c>
      <c r="E32" s="513" t="str">
        <f>IFERROR(__xludf.DUMMYFUNCTION("""COMPUTED_VALUE"""),"1 min 53 sec")</f>
        <v>1 min 53 sec</v>
      </c>
      <c r="F32" s="521">
        <f>IFERROR(__xludf.DUMMYFUNCTION("""COMPUTED_VALUE"""),142.0)</f>
        <v>142</v>
      </c>
      <c r="G32" s="513" t="str">
        <f t="shared" si="1"/>
        <v>1 min 12 sec</v>
      </c>
      <c r="H32" s="529">
        <f t="shared" si="2"/>
        <v>1.2</v>
      </c>
      <c r="J32" s="501"/>
      <c r="K32" s="530"/>
      <c r="Y32" s="278"/>
    </row>
    <row r="33">
      <c r="B33" s="528" t="str">
        <f>IFERROR(__xludf.DUMMYFUNCTION("""COMPUTED_VALUE"""),"National Landing")</f>
        <v>National Landing</v>
      </c>
      <c r="C33" s="513" t="str">
        <f>IFERROR(__xludf.DUMMYFUNCTION("""COMPUTED_VALUE"""),"0 min 20 sec")</f>
        <v>0 min 20 sec</v>
      </c>
      <c r="D33" s="513">
        <f>IFERROR(__xludf.DUMMYFUNCTION("""COMPUTED_VALUE"""),68.0)</f>
        <v>68</v>
      </c>
      <c r="E33" s="513" t="str">
        <f>IFERROR(__xludf.DUMMYFUNCTION("""COMPUTED_VALUE"""),"1 min 43 sec")</f>
        <v>1 min 43 sec</v>
      </c>
      <c r="F33" s="521">
        <f>IFERROR(__xludf.DUMMYFUNCTION("""COMPUTED_VALUE"""),104.0)</f>
        <v>104</v>
      </c>
      <c r="G33" s="513" t="str">
        <f t="shared" si="1"/>
        <v>1 min 10 sec</v>
      </c>
      <c r="H33" s="529">
        <f t="shared" si="2"/>
        <v>1.17</v>
      </c>
      <c r="J33" s="501"/>
      <c r="K33" s="530"/>
      <c r="Y33" s="278"/>
    </row>
    <row r="34">
      <c r="B34" s="528" t="str">
        <f>IFERROR(__xludf.DUMMYFUNCTION("""COMPUTED_VALUE"""),"Mosaic")</f>
        <v>Mosaic</v>
      </c>
      <c r="C34" s="513" t="str">
        <f>IFERROR(__xludf.DUMMYFUNCTION("""COMPUTED_VALUE"""),"1 min 43 sec")</f>
        <v>1 min 43 sec</v>
      </c>
      <c r="D34" s="513">
        <f>IFERROR(__xludf.DUMMYFUNCTION("""COMPUTED_VALUE"""),39.0)</f>
        <v>39</v>
      </c>
      <c r="E34" s="513" t="str">
        <f>IFERROR(__xludf.DUMMYFUNCTION("""COMPUTED_VALUE"""),"2 min 08 sec")</f>
        <v>2 min 08 sec</v>
      </c>
      <c r="F34" s="521">
        <f>IFERROR(__xludf.DUMMYFUNCTION("""COMPUTED_VALUE"""),93.0)</f>
        <v>93</v>
      </c>
      <c r="G34" s="513" t="str">
        <f t="shared" si="1"/>
        <v>2 min 1 sec</v>
      </c>
      <c r="H34" s="529">
        <f t="shared" si="2"/>
        <v>2.02</v>
      </c>
      <c r="J34" s="501"/>
      <c r="K34" s="530"/>
      <c r="Y34" s="278"/>
    </row>
    <row r="35">
      <c r="B35" s="489" t="str">
        <f>IFERROR(__xludf.DUMMYFUNCTION("""COMPUTED_VALUE"""),"All Stores")</f>
        <v>All Stores</v>
      </c>
      <c r="C35" s="490" t="str">
        <f>IFERROR(__xludf.DUMMYFUNCTION("""COMPUTED_VALUE"""),"0 min 42 sec")</f>
        <v>0 min 42 sec</v>
      </c>
      <c r="D35" s="517">
        <f>IFERROR(__xludf.DUMMYFUNCTION("""COMPUTED_VALUE"""),380.0)</f>
        <v>380</v>
      </c>
      <c r="E35" s="490" t="str">
        <f>IFERROR(__xludf.DUMMYFUNCTION("""COMPUTED_VALUE"""),"2 min 12 sec")</f>
        <v>2 min 12 sec</v>
      </c>
      <c r="F35" s="517">
        <f>IFERROR(__xludf.DUMMYFUNCTION("""COMPUTED_VALUE"""),471.0)</f>
        <v>471</v>
      </c>
      <c r="G35" s="490" t="str">
        <f t="shared" si="1"/>
        <v>1 min 32 sec</v>
      </c>
      <c r="H35" s="531">
        <f t="shared" si="2"/>
        <v>1.53</v>
      </c>
      <c r="J35" s="510"/>
      <c r="K35" s="532"/>
      <c r="Y35" s="278"/>
    </row>
    <row r="36">
      <c r="J36" s="493"/>
      <c r="K36" s="493"/>
      <c r="Y36" s="278"/>
    </row>
    <row r="37">
      <c r="Y37" s="278"/>
    </row>
    <row r="38">
      <c r="Y38" s="278"/>
    </row>
    <row r="39">
      <c r="Y39" s="278"/>
    </row>
    <row r="40">
      <c r="Y40" s="278"/>
    </row>
    <row r="41">
      <c r="Y41" s="278"/>
    </row>
    <row r="42">
      <c r="Y42" s="278"/>
    </row>
    <row r="43">
      <c r="Y43" s="278"/>
    </row>
    <row r="44">
      <c r="Y44" s="278"/>
    </row>
    <row r="45">
      <c r="Y45" s="278"/>
    </row>
    <row r="46">
      <c r="Y46" s="278"/>
    </row>
    <row r="47">
      <c r="Y47" s="278"/>
    </row>
    <row r="48">
      <c r="Y48" s="278"/>
    </row>
    <row r="49">
      <c r="Y49" s="278"/>
    </row>
    <row r="50">
      <c r="Y50" s="278"/>
    </row>
    <row r="51">
      <c r="Y51" s="278"/>
    </row>
    <row r="52">
      <c r="Y52" s="278"/>
    </row>
    <row r="53">
      <c r="Y53" s="278"/>
    </row>
    <row r="54">
      <c r="Y54" s="278"/>
    </row>
    <row r="55">
      <c r="Y55" s="278"/>
    </row>
    <row r="56">
      <c r="Y56" s="278"/>
    </row>
    <row r="57">
      <c r="Y57" s="278"/>
    </row>
    <row r="58">
      <c r="Y58" s="278"/>
    </row>
    <row r="59">
      <c r="Y59" s="278"/>
    </row>
    <row r="60">
      <c r="Y60" s="278"/>
    </row>
    <row r="61">
      <c r="Y61" s="278"/>
    </row>
    <row r="62">
      <c r="Y62" s="278"/>
    </row>
    <row r="63">
      <c r="Y63" s="278"/>
    </row>
    <row r="64">
      <c r="Y64" s="278"/>
    </row>
    <row r="65">
      <c r="Y65" s="278"/>
    </row>
    <row r="66">
      <c r="Y66" s="278"/>
    </row>
    <row r="67">
      <c r="Y67" s="278"/>
    </row>
    <row r="68">
      <c r="Y68" s="278"/>
    </row>
    <row r="69">
      <c r="Y69" s="278"/>
    </row>
    <row r="70">
      <c r="Y70" s="278"/>
    </row>
    <row r="71">
      <c r="Y71" s="278"/>
    </row>
    <row r="72">
      <c r="Y72" s="278"/>
    </row>
    <row r="73">
      <c r="Y73" s="278"/>
    </row>
    <row r="74">
      <c r="Y74" s="278"/>
    </row>
    <row r="75">
      <c r="Y75" s="278"/>
    </row>
    <row r="76">
      <c r="Y76" s="278"/>
    </row>
    <row r="77">
      <c r="Y77" s="278"/>
    </row>
    <row r="78">
      <c r="Y78" s="278"/>
    </row>
    <row r="79">
      <c r="Y79" s="278"/>
    </row>
    <row r="80">
      <c r="Y80" s="278"/>
    </row>
    <row r="81">
      <c r="Y81" s="278"/>
    </row>
    <row r="82">
      <c r="Y82" s="278"/>
    </row>
    <row r="83">
      <c r="Y83" s="278"/>
    </row>
    <row r="84">
      <c r="Y84" s="278"/>
    </row>
    <row r="85">
      <c r="Y85" s="278"/>
    </row>
    <row r="86">
      <c r="Y86" s="278"/>
    </row>
    <row r="87">
      <c r="Y87" s="278"/>
    </row>
    <row r="88">
      <c r="Y88" s="278"/>
    </row>
    <row r="89">
      <c r="Y89" s="278"/>
    </row>
    <row r="90">
      <c r="Y90" s="278"/>
    </row>
    <row r="91">
      <c r="Y91" s="278"/>
    </row>
    <row r="92">
      <c r="Y92" s="278"/>
    </row>
    <row r="93">
      <c r="Y93" s="278"/>
    </row>
    <row r="94">
      <c r="Y94" s="278"/>
    </row>
    <row r="95">
      <c r="Y95" s="278"/>
    </row>
    <row r="96">
      <c r="Y96" s="278"/>
    </row>
    <row r="97">
      <c r="Y97" s="278"/>
    </row>
    <row r="98">
      <c r="Y98" s="278"/>
    </row>
    <row r="99">
      <c r="Y99" s="278"/>
    </row>
    <row r="100">
      <c r="Y100" s="278"/>
    </row>
    <row r="101">
      <c r="Y101" s="278"/>
    </row>
    <row r="102">
      <c r="Y102" s="278"/>
    </row>
    <row r="103">
      <c r="Y103" s="278"/>
    </row>
    <row r="104">
      <c r="Y104" s="278"/>
    </row>
    <row r="105">
      <c r="Y105" s="278"/>
    </row>
    <row r="106">
      <c r="Y106" s="278"/>
    </row>
    <row r="107">
      <c r="Y107" s="278"/>
    </row>
    <row r="108">
      <c r="Y108" s="278"/>
    </row>
    <row r="109">
      <c r="Y109" s="278"/>
    </row>
    <row r="110">
      <c r="Y110" s="278"/>
    </row>
    <row r="111">
      <c r="Y111" s="278"/>
    </row>
    <row r="112">
      <c r="Y112" s="278"/>
    </row>
    <row r="113">
      <c r="Y113" s="278"/>
    </row>
    <row r="114">
      <c r="Y114" s="278"/>
    </row>
    <row r="115">
      <c r="Y115" s="278"/>
    </row>
    <row r="116">
      <c r="Y116" s="278"/>
    </row>
    <row r="117">
      <c r="Y117" s="278"/>
    </row>
    <row r="118">
      <c r="Y118" s="278"/>
    </row>
    <row r="119">
      <c r="Y119" s="278"/>
    </row>
    <row r="120">
      <c r="Y120" s="278"/>
    </row>
    <row r="121">
      <c r="Y121" s="278"/>
    </row>
    <row r="122">
      <c r="Y122" s="278"/>
    </row>
    <row r="123">
      <c r="Y123" s="278"/>
    </row>
    <row r="124">
      <c r="Y124" s="278"/>
    </row>
    <row r="125">
      <c r="Y125" s="278"/>
    </row>
    <row r="126">
      <c r="Y126" s="278"/>
    </row>
    <row r="127">
      <c r="Y127" s="278"/>
    </row>
    <row r="128">
      <c r="Y128" s="278"/>
    </row>
    <row r="129">
      <c r="Y129" s="278"/>
    </row>
    <row r="130">
      <c r="Y130" s="278"/>
    </row>
    <row r="131">
      <c r="Y131" s="278"/>
    </row>
    <row r="132">
      <c r="Y132" s="278"/>
    </row>
    <row r="133">
      <c r="Y133" s="278"/>
    </row>
    <row r="134">
      <c r="Y134" s="278"/>
    </row>
    <row r="135">
      <c r="Y135" s="278"/>
    </row>
    <row r="136">
      <c r="Y136" s="278"/>
    </row>
    <row r="137">
      <c r="Y137" s="278"/>
    </row>
    <row r="138">
      <c r="Y138" s="278"/>
    </row>
    <row r="139">
      <c r="Y139" s="278"/>
    </row>
    <row r="140">
      <c r="Y140" s="278"/>
    </row>
    <row r="141">
      <c r="Y141" s="278"/>
    </row>
    <row r="142">
      <c r="Y142" s="278"/>
    </row>
    <row r="143">
      <c r="Y143" s="278"/>
    </row>
    <row r="144">
      <c r="Y144" s="278"/>
    </row>
    <row r="145">
      <c r="Y145" s="278"/>
    </row>
    <row r="146">
      <c r="Y146" s="278"/>
    </row>
    <row r="147">
      <c r="Y147" s="278"/>
    </row>
    <row r="148">
      <c r="Y148" s="278"/>
    </row>
    <row r="149">
      <c r="Y149" s="278"/>
    </row>
    <row r="150">
      <c r="Y150" s="278"/>
    </row>
    <row r="151">
      <c r="Y151" s="278"/>
    </row>
    <row r="152">
      <c r="Y152" s="278"/>
    </row>
    <row r="153">
      <c r="Y153" s="278"/>
    </row>
    <row r="154">
      <c r="Y154" s="278"/>
    </row>
    <row r="155">
      <c r="Y155" s="278"/>
    </row>
    <row r="156">
      <c r="Y156" s="278"/>
    </row>
    <row r="157">
      <c r="Y157" s="278"/>
    </row>
    <row r="158">
      <c r="Y158" s="278"/>
    </row>
    <row r="159">
      <c r="Y159" s="278"/>
    </row>
    <row r="160">
      <c r="Y160" s="278"/>
    </row>
    <row r="161">
      <c r="Y161" s="278"/>
    </row>
    <row r="162">
      <c r="Y162" s="278"/>
    </row>
    <row r="163">
      <c r="Y163" s="278"/>
    </row>
    <row r="164">
      <c r="Y164" s="278"/>
    </row>
    <row r="165">
      <c r="Y165" s="278"/>
    </row>
    <row r="166">
      <c r="Y166" s="278"/>
    </row>
    <row r="167">
      <c r="Y167" s="278"/>
    </row>
    <row r="168">
      <c r="Y168" s="278"/>
    </row>
    <row r="169">
      <c r="Y169" s="278"/>
    </row>
    <row r="170">
      <c r="Y170" s="278"/>
    </row>
    <row r="171">
      <c r="Y171" s="278"/>
    </row>
    <row r="172">
      <c r="Y172" s="278"/>
    </row>
    <row r="173">
      <c r="Y173" s="278"/>
    </row>
    <row r="174">
      <c r="Y174" s="278"/>
    </row>
    <row r="175">
      <c r="Y175" s="278"/>
    </row>
    <row r="176">
      <c r="Y176" s="278"/>
    </row>
    <row r="177">
      <c r="Y177" s="278"/>
    </row>
    <row r="178">
      <c r="Y178" s="278"/>
    </row>
    <row r="179">
      <c r="Y179" s="278"/>
    </row>
    <row r="180">
      <c r="Y180" s="278"/>
    </row>
    <row r="181">
      <c r="Y181" s="278"/>
    </row>
    <row r="182">
      <c r="Y182" s="278"/>
    </row>
    <row r="183">
      <c r="Y183" s="278"/>
    </row>
    <row r="184">
      <c r="Y184" s="278"/>
    </row>
    <row r="185">
      <c r="Y185" s="278"/>
    </row>
    <row r="186">
      <c r="Y186" s="278"/>
    </row>
    <row r="187">
      <c r="Y187" s="278"/>
    </row>
    <row r="188">
      <c r="Y188" s="278"/>
    </row>
    <row r="189">
      <c r="Y189" s="278"/>
    </row>
    <row r="190">
      <c r="Y190" s="278"/>
    </row>
    <row r="191">
      <c r="Y191" s="278"/>
    </row>
    <row r="192">
      <c r="Y192" s="278"/>
    </row>
    <row r="193">
      <c r="Y193" s="278"/>
    </row>
    <row r="194">
      <c r="Y194" s="278"/>
    </row>
    <row r="195">
      <c r="Y195" s="278"/>
    </row>
    <row r="196">
      <c r="Y196" s="278"/>
    </row>
    <row r="197">
      <c r="Y197" s="278"/>
    </row>
    <row r="198">
      <c r="Y198" s="278"/>
    </row>
    <row r="199">
      <c r="Y199" s="278"/>
    </row>
    <row r="200">
      <c r="Y200" s="278"/>
    </row>
    <row r="201">
      <c r="Y201" s="278"/>
    </row>
    <row r="202">
      <c r="Y202" s="278"/>
    </row>
    <row r="203">
      <c r="Y203" s="278"/>
    </row>
    <row r="204">
      <c r="Y204" s="278"/>
    </row>
    <row r="205">
      <c r="Y205" s="278"/>
    </row>
    <row r="206">
      <c r="Y206" s="278"/>
    </row>
    <row r="207">
      <c r="Y207" s="278"/>
    </row>
    <row r="208">
      <c r="Y208" s="278"/>
    </row>
    <row r="209">
      <c r="Y209" s="278"/>
    </row>
    <row r="210">
      <c r="Y210" s="278"/>
    </row>
    <row r="211">
      <c r="Y211" s="278"/>
    </row>
    <row r="212">
      <c r="Y212" s="278"/>
    </row>
    <row r="213">
      <c r="Y213" s="278"/>
    </row>
    <row r="214">
      <c r="Y214" s="278"/>
    </row>
    <row r="215">
      <c r="Y215" s="278"/>
    </row>
    <row r="216">
      <c r="Y216" s="278"/>
    </row>
    <row r="217">
      <c r="Y217" s="278"/>
    </row>
    <row r="218">
      <c r="Y218" s="278"/>
    </row>
    <row r="219">
      <c r="Y219" s="278"/>
    </row>
    <row r="220">
      <c r="Y220" s="278"/>
    </row>
    <row r="221">
      <c r="Y221" s="278"/>
    </row>
    <row r="222">
      <c r="Y222" s="278"/>
    </row>
    <row r="223">
      <c r="Y223" s="278"/>
    </row>
    <row r="224">
      <c r="Y224" s="278"/>
    </row>
    <row r="225">
      <c r="Y225" s="278"/>
    </row>
    <row r="226">
      <c r="Y226" s="278"/>
    </row>
    <row r="227">
      <c r="Y227" s="278"/>
    </row>
    <row r="228">
      <c r="Y228" s="278"/>
    </row>
    <row r="229">
      <c r="Y229" s="278"/>
    </row>
    <row r="230">
      <c r="Y230" s="278"/>
    </row>
    <row r="231">
      <c r="Y231" s="278"/>
    </row>
    <row r="232">
      <c r="Y232" s="278"/>
    </row>
    <row r="233">
      <c r="Y233" s="278"/>
    </row>
    <row r="234">
      <c r="Y234" s="278"/>
    </row>
    <row r="235">
      <c r="Y235" s="278"/>
    </row>
    <row r="236">
      <c r="Y236" s="278"/>
    </row>
    <row r="237">
      <c r="Y237" s="278"/>
    </row>
    <row r="238">
      <c r="Y238" s="278"/>
    </row>
    <row r="239">
      <c r="Y239" s="278"/>
    </row>
    <row r="240">
      <c r="Y240" s="278"/>
    </row>
    <row r="241">
      <c r="Y241" s="278"/>
    </row>
    <row r="242">
      <c r="Y242" s="278"/>
    </row>
    <row r="243">
      <c r="Y243" s="278"/>
    </row>
    <row r="244">
      <c r="Y244" s="278"/>
    </row>
    <row r="245">
      <c r="Y245" s="278"/>
    </row>
    <row r="246">
      <c r="Y246" s="278"/>
    </row>
    <row r="247">
      <c r="Y247" s="278"/>
    </row>
    <row r="248">
      <c r="Y248" s="278"/>
    </row>
    <row r="249">
      <c r="Y249" s="278"/>
    </row>
    <row r="250">
      <c r="Y250" s="278"/>
    </row>
    <row r="251">
      <c r="Y251" s="278"/>
    </row>
    <row r="252">
      <c r="Y252" s="278"/>
    </row>
    <row r="253">
      <c r="Y253" s="278"/>
    </row>
    <row r="254">
      <c r="Y254" s="278"/>
    </row>
    <row r="255">
      <c r="Y255" s="278"/>
    </row>
    <row r="256">
      <c r="Y256" s="278"/>
    </row>
    <row r="257">
      <c r="Y257" s="278"/>
    </row>
    <row r="258">
      <c r="Y258" s="278"/>
    </row>
    <row r="259">
      <c r="Y259" s="278"/>
    </row>
    <row r="260">
      <c r="Y260" s="278"/>
    </row>
    <row r="261">
      <c r="Y261" s="278"/>
    </row>
    <row r="262">
      <c r="Y262" s="278"/>
    </row>
    <row r="263">
      <c r="Y263" s="278"/>
    </row>
    <row r="264">
      <c r="Y264" s="278"/>
    </row>
    <row r="265">
      <c r="Y265" s="278"/>
    </row>
    <row r="266">
      <c r="Y266" s="278"/>
    </row>
    <row r="267">
      <c r="Y267" s="278"/>
    </row>
    <row r="268">
      <c r="Y268" s="278"/>
    </row>
    <row r="269">
      <c r="Y269" s="278"/>
    </row>
    <row r="270">
      <c r="Y270" s="278"/>
    </row>
    <row r="271">
      <c r="Y271" s="278"/>
    </row>
    <row r="272">
      <c r="Y272" s="278"/>
    </row>
    <row r="273">
      <c r="Y273" s="278"/>
    </row>
    <row r="274">
      <c r="Y274" s="278"/>
    </row>
    <row r="275">
      <c r="Y275" s="278"/>
    </row>
    <row r="276">
      <c r="Y276" s="278"/>
    </row>
    <row r="277">
      <c r="Y277" s="278"/>
    </row>
    <row r="278">
      <c r="Y278" s="278"/>
    </row>
    <row r="279">
      <c r="Y279" s="278"/>
    </row>
    <row r="280">
      <c r="Y280" s="278"/>
    </row>
    <row r="281">
      <c r="Y281" s="278"/>
    </row>
    <row r="282">
      <c r="Y282" s="278"/>
    </row>
    <row r="283">
      <c r="Y283" s="278"/>
    </row>
    <row r="284">
      <c r="Y284" s="278"/>
    </row>
    <row r="285">
      <c r="Y285" s="278"/>
    </row>
    <row r="286">
      <c r="Y286" s="278"/>
    </row>
    <row r="287">
      <c r="Y287" s="278"/>
    </row>
    <row r="288">
      <c r="Y288" s="278"/>
    </row>
    <row r="289">
      <c r="Y289" s="278"/>
    </row>
    <row r="290">
      <c r="Y290" s="278"/>
    </row>
    <row r="291">
      <c r="Y291" s="278"/>
    </row>
    <row r="292">
      <c r="Y292" s="278"/>
    </row>
    <row r="293">
      <c r="Y293" s="278"/>
    </row>
    <row r="294">
      <c r="Y294" s="278"/>
    </row>
    <row r="295">
      <c r="Y295" s="278"/>
    </row>
    <row r="296">
      <c r="Y296" s="278"/>
    </row>
    <row r="297">
      <c r="Y297" s="278"/>
    </row>
    <row r="298">
      <c r="Y298" s="278"/>
    </row>
    <row r="299">
      <c r="Y299" s="278"/>
    </row>
    <row r="300">
      <c r="Y300" s="278"/>
    </row>
    <row r="301">
      <c r="Y301" s="278"/>
    </row>
    <row r="302">
      <c r="Y302" s="278"/>
    </row>
    <row r="303">
      <c r="Y303" s="278"/>
    </row>
    <row r="304">
      <c r="Y304" s="278"/>
    </row>
    <row r="305">
      <c r="Y305" s="278"/>
    </row>
    <row r="306">
      <c r="Y306" s="278"/>
    </row>
    <row r="307">
      <c r="Y307" s="278"/>
    </row>
    <row r="308">
      <c r="Y308" s="278"/>
    </row>
    <row r="309">
      <c r="Y309" s="278"/>
    </row>
    <row r="310">
      <c r="Y310" s="278"/>
    </row>
    <row r="311">
      <c r="Y311" s="278"/>
    </row>
    <row r="312">
      <c r="Y312" s="278"/>
    </row>
    <row r="313">
      <c r="Y313" s="278"/>
    </row>
    <row r="314">
      <c r="Y314" s="278"/>
    </row>
    <row r="315">
      <c r="Y315" s="278"/>
    </row>
    <row r="316">
      <c r="Y316" s="278"/>
    </row>
    <row r="317">
      <c r="Y317" s="278"/>
    </row>
    <row r="318">
      <c r="Y318" s="278"/>
    </row>
    <row r="319">
      <c r="Y319" s="278"/>
    </row>
    <row r="320">
      <c r="Y320" s="278"/>
    </row>
    <row r="321">
      <c r="Y321" s="278"/>
    </row>
    <row r="322">
      <c r="Y322" s="278"/>
    </row>
    <row r="323">
      <c r="Y323" s="278"/>
    </row>
    <row r="324">
      <c r="Y324" s="278"/>
    </row>
    <row r="325">
      <c r="Y325" s="278"/>
    </row>
    <row r="326">
      <c r="Y326" s="278"/>
    </row>
    <row r="327">
      <c r="Y327" s="278"/>
    </row>
    <row r="328">
      <c r="Y328" s="278"/>
    </row>
    <row r="329">
      <c r="Y329" s="278"/>
    </row>
    <row r="330">
      <c r="Y330" s="278"/>
    </row>
    <row r="331">
      <c r="Y331" s="278"/>
    </row>
    <row r="332">
      <c r="Y332" s="278"/>
    </row>
    <row r="333">
      <c r="Y333" s="278"/>
    </row>
    <row r="334">
      <c r="Y334" s="278"/>
    </row>
    <row r="335">
      <c r="Y335" s="278"/>
    </row>
    <row r="336">
      <c r="Y336" s="278"/>
    </row>
    <row r="337">
      <c r="Y337" s="278"/>
    </row>
    <row r="338">
      <c r="Y338" s="278"/>
    </row>
    <row r="339">
      <c r="Y339" s="278"/>
    </row>
    <row r="340">
      <c r="Y340" s="278"/>
    </row>
    <row r="341">
      <c r="Y341" s="278"/>
    </row>
    <row r="342">
      <c r="Y342" s="278"/>
    </row>
    <row r="343">
      <c r="Y343" s="278"/>
    </row>
    <row r="344">
      <c r="Y344" s="278"/>
    </row>
    <row r="345">
      <c r="Y345" s="278"/>
    </row>
    <row r="346">
      <c r="Y346" s="278"/>
    </row>
    <row r="347">
      <c r="Y347" s="278"/>
    </row>
    <row r="348">
      <c r="Y348" s="278"/>
    </row>
    <row r="349">
      <c r="Y349" s="278"/>
    </row>
    <row r="350">
      <c r="Y350" s="278"/>
    </row>
    <row r="351">
      <c r="Y351" s="278"/>
    </row>
    <row r="352">
      <c r="Y352" s="278"/>
    </row>
    <row r="353">
      <c r="Y353" s="278"/>
    </row>
    <row r="354">
      <c r="Y354" s="278"/>
    </row>
    <row r="355">
      <c r="Y355" s="278"/>
    </row>
    <row r="356">
      <c r="Y356" s="278"/>
    </row>
    <row r="357">
      <c r="Y357" s="278"/>
    </row>
    <row r="358">
      <c r="Y358" s="278"/>
    </row>
    <row r="359">
      <c r="Y359" s="278"/>
    </row>
    <row r="360">
      <c r="Y360" s="278"/>
    </row>
    <row r="361">
      <c r="Y361" s="278"/>
    </row>
    <row r="362">
      <c r="Y362" s="278"/>
    </row>
    <row r="363">
      <c r="Y363" s="278"/>
    </row>
    <row r="364">
      <c r="Y364" s="278"/>
    </row>
    <row r="365">
      <c r="Y365" s="278"/>
    </row>
    <row r="366">
      <c r="Y366" s="278"/>
    </row>
    <row r="367">
      <c r="Y367" s="278"/>
    </row>
    <row r="368">
      <c r="Y368" s="278"/>
    </row>
    <row r="369">
      <c r="Y369" s="278"/>
    </row>
    <row r="370">
      <c r="Y370" s="278"/>
    </row>
    <row r="371">
      <c r="Y371" s="278"/>
    </row>
    <row r="372">
      <c r="Y372" s="278"/>
    </row>
    <row r="373">
      <c r="Y373" s="278"/>
    </row>
    <row r="374">
      <c r="Y374" s="278"/>
    </row>
    <row r="375">
      <c r="Y375" s="278"/>
    </row>
    <row r="376">
      <c r="Y376" s="278"/>
    </row>
    <row r="377">
      <c r="Y377" s="278"/>
    </row>
    <row r="378">
      <c r="Y378" s="278"/>
    </row>
    <row r="379">
      <c r="Y379" s="278"/>
    </row>
    <row r="380">
      <c r="Y380" s="278"/>
    </row>
    <row r="381">
      <c r="Y381" s="278"/>
    </row>
    <row r="382">
      <c r="Y382" s="278"/>
    </row>
    <row r="383">
      <c r="Y383" s="278"/>
    </row>
    <row r="384">
      <c r="Y384" s="278"/>
    </row>
    <row r="385">
      <c r="Y385" s="278"/>
    </row>
    <row r="386">
      <c r="Y386" s="278"/>
    </row>
    <row r="387">
      <c r="Y387" s="278"/>
    </row>
    <row r="388">
      <c r="Y388" s="278"/>
    </row>
    <row r="389">
      <c r="Y389" s="278"/>
    </row>
    <row r="390">
      <c r="Y390" s="278"/>
    </row>
    <row r="391">
      <c r="Y391" s="278"/>
    </row>
    <row r="392">
      <c r="Y392" s="278"/>
    </row>
    <row r="393">
      <c r="Y393" s="278"/>
    </row>
    <row r="394">
      <c r="Y394" s="278"/>
    </row>
    <row r="395">
      <c r="Y395" s="278"/>
    </row>
    <row r="396">
      <c r="Y396" s="278"/>
    </row>
    <row r="397">
      <c r="Y397" s="278"/>
    </row>
    <row r="398">
      <c r="Y398" s="278"/>
    </row>
    <row r="399">
      <c r="Y399" s="278"/>
    </row>
    <row r="400">
      <c r="Y400" s="278"/>
    </row>
    <row r="401">
      <c r="Y401" s="278"/>
    </row>
    <row r="402">
      <c r="Y402" s="278"/>
    </row>
    <row r="403">
      <c r="Y403" s="278"/>
    </row>
    <row r="404">
      <c r="Y404" s="278"/>
    </row>
    <row r="405">
      <c r="Y405" s="278"/>
    </row>
    <row r="406">
      <c r="Y406" s="278"/>
    </row>
    <row r="407">
      <c r="Y407" s="278"/>
    </row>
    <row r="408">
      <c r="Y408" s="278"/>
    </row>
    <row r="409">
      <c r="Y409" s="278"/>
    </row>
    <row r="410">
      <c r="Y410" s="278"/>
    </row>
    <row r="411">
      <c r="Y411" s="278"/>
    </row>
    <row r="412">
      <c r="Y412" s="278"/>
    </row>
    <row r="413">
      <c r="Y413" s="278"/>
    </row>
    <row r="414">
      <c r="Y414" s="278"/>
    </row>
    <row r="415">
      <c r="Y415" s="278"/>
    </row>
    <row r="416">
      <c r="Y416" s="278"/>
    </row>
    <row r="417">
      <c r="Y417" s="278"/>
    </row>
    <row r="418">
      <c r="Y418" s="278"/>
    </row>
    <row r="419">
      <c r="Y419" s="278"/>
    </row>
    <row r="420">
      <c r="Y420" s="278"/>
    </row>
    <row r="421">
      <c r="Y421" s="278"/>
    </row>
    <row r="422">
      <c r="Y422" s="278"/>
    </row>
    <row r="423">
      <c r="Y423" s="278"/>
    </row>
    <row r="424">
      <c r="Y424" s="278"/>
    </row>
    <row r="425">
      <c r="Y425" s="278"/>
    </row>
    <row r="426">
      <c r="Y426" s="278"/>
    </row>
    <row r="427">
      <c r="Y427" s="278"/>
    </row>
    <row r="428">
      <c r="Y428" s="278"/>
    </row>
    <row r="429">
      <c r="Y429" s="278"/>
    </row>
    <row r="430">
      <c r="Y430" s="278"/>
    </row>
    <row r="431">
      <c r="Y431" s="278"/>
    </row>
    <row r="432">
      <c r="Y432" s="278"/>
    </row>
    <row r="433">
      <c r="Y433" s="278"/>
    </row>
    <row r="434">
      <c r="Y434" s="278"/>
    </row>
    <row r="435">
      <c r="Y435" s="278"/>
    </row>
    <row r="436">
      <c r="Y436" s="278"/>
    </row>
    <row r="437">
      <c r="Y437" s="278"/>
    </row>
    <row r="438">
      <c r="Y438" s="278"/>
    </row>
    <row r="439">
      <c r="Y439" s="278"/>
    </row>
    <row r="440">
      <c r="Y440" s="278"/>
    </row>
    <row r="441">
      <c r="Y441" s="278"/>
    </row>
    <row r="442">
      <c r="Y442" s="278"/>
    </row>
    <row r="443">
      <c r="Y443" s="278"/>
    </row>
    <row r="444">
      <c r="Y444" s="278"/>
    </row>
    <row r="445">
      <c r="Y445" s="278"/>
    </row>
    <row r="446">
      <c r="Y446" s="278"/>
    </row>
    <row r="447">
      <c r="Y447" s="278"/>
    </row>
    <row r="448">
      <c r="Y448" s="278"/>
    </row>
    <row r="449">
      <c r="Y449" s="278"/>
    </row>
    <row r="450">
      <c r="Y450" s="278"/>
    </row>
    <row r="451">
      <c r="Y451" s="278"/>
    </row>
    <row r="452">
      <c r="Y452" s="278"/>
    </row>
    <row r="453">
      <c r="Y453" s="278"/>
    </row>
    <row r="454">
      <c r="Y454" s="278"/>
    </row>
    <row r="455">
      <c r="Y455" s="278"/>
    </row>
    <row r="456">
      <c r="Y456" s="278"/>
    </row>
    <row r="457">
      <c r="Y457" s="278"/>
    </row>
    <row r="458">
      <c r="Y458" s="278"/>
    </row>
    <row r="459">
      <c r="Y459" s="278"/>
    </row>
    <row r="460">
      <c r="Y460" s="278"/>
    </row>
    <row r="461">
      <c r="Y461" s="278"/>
    </row>
    <row r="462">
      <c r="Y462" s="278"/>
    </row>
    <row r="463">
      <c r="Y463" s="278"/>
    </row>
    <row r="464">
      <c r="Y464" s="278"/>
    </row>
    <row r="465">
      <c r="Y465" s="278"/>
    </row>
    <row r="466">
      <c r="Y466" s="278"/>
    </row>
    <row r="467">
      <c r="Y467" s="278"/>
    </row>
    <row r="468">
      <c r="Y468" s="278"/>
    </row>
    <row r="469">
      <c r="Y469" s="278"/>
    </row>
    <row r="470">
      <c r="Y470" s="278"/>
    </row>
    <row r="471">
      <c r="Y471" s="278"/>
    </row>
    <row r="472">
      <c r="Y472" s="278"/>
    </row>
    <row r="473">
      <c r="Y473" s="278"/>
    </row>
    <row r="474">
      <c r="Y474" s="278"/>
    </row>
    <row r="475">
      <c r="Y475" s="278"/>
    </row>
    <row r="476">
      <c r="Y476" s="278"/>
    </row>
    <row r="477">
      <c r="Y477" s="278"/>
    </row>
    <row r="478">
      <c r="Y478" s="278"/>
    </row>
    <row r="479">
      <c r="Y479" s="278"/>
    </row>
    <row r="480">
      <c r="Y480" s="278"/>
    </row>
    <row r="481">
      <c r="Y481" s="278"/>
    </row>
    <row r="482">
      <c r="Y482" s="278"/>
    </row>
    <row r="483">
      <c r="Y483" s="278"/>
    </row>
    <row r="484">
      <c r="Y484" s="278"/>
    </row>
    <row r="485">
      <c r="Y485" s="278"/>
    </row>
    <row r="486">
      <c r="Y486" s="278"/>
    </row>
    <row r="487">
      <c r="Y487" s="278"/>
    </row>
    <row r="488">
      <c r="Y488" s="278"/>
    </row>
    <row r="489">
      <c r="Y489" s="278"/>
    </row>
    <row r="490">
      <c r="Y490" s="278"/>
    </row>
    <row r="491">
      <c r="Y491" s="278"/>
    </row>
    <row r="492">
      <c r="Y492" s="278"/>
    </row>
    <row r="493">
      <c r="Y493" s="278"/>
    </row>
    <row r="494">
      <c r="Y494" s="278"/>
    </row>
    <row r="495">
      <c r="Y495" s="278"/>
    </row>
    <row r="496">
      <c r="Y496" s="278"/>
    </row>
    <row r="497">
      <c r="Y497" s="278"/>
    </row>
    <row r="498">
      <c r="Y498" s="278"/>
    </row>
    <row r="499">
      <c r="Y499" s="278"/>
    </row>
    <row r="500">
      <c r="Y500" s="278"/>
    </row>
    <row r="501">
      <c r="Y501" s="278"/>
    </row>
    <row r="502">
      <c r="Y502" s="278"/>
    </row>
    <row r="503">
      <c r="Y503" s="278"/>
    </row>
    <row r="504">
      <c r="Y504" s="278"/>
    </row>
    <row r="505">
      <c r="Y505" s="278"/>
    </row>
    <row r="506">
      <c r="Y506" s="278"/>
    </row>
    <row r="507">
      <c r="Y507" s="278"/>
    </row>
    <row r="508">
      <c r="Y508" s="278"/>
    </row>
    <row r="509">
      <c r="Y509" s="278"/>
    </row>
    <row r="510">
      <c r="Y510" s="278"/>
    </row>
    <row r="511">
      <c r="Y511" s="278"/>
    </row>
    <row r="512">
      <c r="Y512" s="278"/>
    </row>
    <row r="513">
      <c r="Y513" s="278"/>
    </row>
    <row r="514">
      <c r="Y514" s="278"/>
    </row>
    <row r="515">
      <c r="Y515" s="278"/>
    </row>
    <row r="516">
      <c r="Y516" s="278"/>
    </row>
    <row r="517">
      <c r="Y517" s="278"/>
    </row>
    <row r="518">
      <c r="Y518" s="278"/>
    </row>
    <row r="519">
      <c r="Y519" s="278"/>
    </row>
    <row r="520">
      <c r="Y520" s="278"/>
    </row>
    <row r="521">
      <c r="Y521" s="278"/>
    </row>
    <row r="522">
      <c r="Y522" s="278"/>
    </row>
    <row r="523">
      <c r="Y523" s="278"/>
    </row>
    <row r="524">
      <c r="Y524" s="278"/>
    </row>
    <row r="525">
      <c r="Y525" s="278"/>
    </row>
    <row r="526">
      <c r="Y526" s="278"/>
    </row>
    <row r="527">
      <c r="Y527" s="278"/>
    </row>
    <row r="528">
      <c r="Y528" s="278"/>
    </row>
    <row r="529">
      <c r="Y529" s="278"/>
    </row>
    <row r="530">
      <c r="Y530" s="278"/>
    </row>
    <row r="531">
      <c r="Y531" s="278"/>
    </row>
    <row r="532">
      <c r="Y532" s="278"/>
    </row>
    <row r="533">
      <c r="Y533" s="278"/>
    </row>
    <row r="534">
      <c r="Y534" s="278"/>
    </row>
    <row r="535">
      <c r="Y535" s="278"/>
    </row>
    <row r="536">
      <c r="Y536" s="278"/>
    </row>
    <row r="537">
      <c r="Y537" s="278"/>
    </row>
    <row r="538">
      <c r="Y538" s="278"/>
    </row>
    <row r="539">
      <c r="Y539" s="278"/>
    </row>
    <row r="540">
      <c r="Y540" s="278"/>
    </row>
    <row r="541">
      <c r="Y541" s="278"/>
    </row>
    <row r="542">
      <c r="Y542" s="278"/>
    </row>
    <row r="543">
      <c r="Y543" s="278"/>
    </row>
    <row r="544">
      <c r="Y544" s="278"/>
    </row>
    <row r="545">
      <c r="Y545" s="278"/>
    </row>
    <row r="546">
      <c r="Y546" s="278"/>
    </row>
    <row r="547">
      <c r="Y547" s="278"/>
    </row>
    <row r="548">
      <c r="Y548" s="278"/>
    </row>
    <row r="549">
      <c r="Y549" s="278"/>
    </row>
    <row r="550">
      <c r="Y550" s="278"/>
    </row>
    <row r="551">
      <c r="Y551" s="278"/>
    </row>
    <row r="552">
      <c r="Y552" s="278"/>
    </row>
    <row r="553">
      <c r="Y553" s="278"/>
    </row>
    <row r="554">
      <c r="Y554" s="278"/>
    </row>
    <row r="555">
      <c r="Y555" s="278"/>
    </row>
    <row r="556">
      <c r="Y556" s="278"/>
    </row>
    <row r="557">
      <c r="Y557" s="278"/>
    </row>
    <row r="558">
      <c r="Y558" s="278"/>
    </row>
    <row r="559">
      <c r="Y559" s="278"/>
    </row>
    <row r="560">
      <c r="Y560" s="278"/>
    </row>
    <row r="561">
      <c r="Y561" s="278"/>
    </row>
    <row r="562">
      <c r="Y562" s="278"/>
    </row>
    <row r="563">
      <c r="Y563" s="278"/>
    </row>
    <row r="564">
      <c r="Y564" s="278"/>
    </row>
    <row r="565">
      <c r="Y565" s="278"/>
    </row>
    <row r="566">
      <c r="Y566" s="278"/>
    </row>
    <row r="567">
      <c r="Y567" s="278"/>
    </row>
    <row r="568">
      <c r="Y568" s="278"/>
    </row>
    <row r="569">
      <c r="Y569" s="278"/>
    </row>
    <row r="570">
      <c r="Y570" s="278"/>
    </row>
    <row r="571">
      <c r="Y571" s="278"/>
    </row>
    <row r="572">
      <c r="Y572" s="278"/>
    </row>
    <row r="573">
      <c r="Y573" s="278"/>
    </row>
    <row r="574">
      <c r="Y574" s="278"/>
    </row>
    <row r="575">
      <c r="Y575" s="278"/>
    </row>
    <row r="576">
      <c r="Y576" s="278"/>
    </row>
    <row r="577">
      <c r="Y577" s="278"/>
    </row>
    <row r="578">
      <c r="Y578" s="278"/>
    </row>
    <row r="579">
      <c r="Y579" s="278"/>
    </row>
    <row r="580">
      <c r="Y580" s="278"/>
    </row>
    <row r="581">
      <c r="Y581" s="278"/>
    </row>
    <row r="582">
      <c r="Y582" s="278"/>
    </row>
    <row r="583">
      <c r="Y583" s="278"/>
    </row>
    <row r="584">
      <c r="Y584" s="278"/>
    </row>
    <row r="585">
      <c r="Y585" s="278"/>
    </row>
    <row r="586">
      <c r="Y586" s="278"/>
    </row>
    <row r="587">
      <c r="Y587" s="278"/>
    </row>
    <row r="588">
      <c r="Y588" s="278"/>
    </row>
    <row r="589">
      <c r="Y589" s="278"/>
    </row>
    <row r="590">
      <c r="Y590" s="278"/>
    </row>
    <row r="591">
      <c r="Y591" s="278"/>
    </row>
    <row r="592">
      <c r="Y592" s="278"/>
    </row>
    <row r="593">
      <c r="Y593" s="278"/>
    </row>
    <row r="594">
      <c r="Y594" s="278"/>
    </row>
    <row r="595">
      <c r="Y595" s="278"/>
    </row>
    <row r="596">
      <c r="Y596" s="278"/>
    </row>
    <row r="597">
      <c r="Y597" s="278"/>
    </row>
    <row r="598">
      <c r="Y598" s="278"/>
    </row>
    <row r="599">
      <c r="Y599" s="278"/>
    </row>
    <row r="600">
      <c r="Y600" s="278"/>
    </row>
    <row r="601">
      <c r="Y601" s="278"/>
    </row>
    <row r="602">
      <c r="Y602" s="278"/>
    </row>
    <row r="603">
      <c r="Y603" s="278"/>
    </row>
    <row r="604">
      <c r="Y604" s="278"/>
    </row>
    <row r="605">
      <c r="Y605" s="278"/>
    </row>
    <row r="606">
      <c r="Y606" s="278"/>
    </row>
    <row r="607">
      <c r="Y607" s="278"/>
    </row>
    <row r="608">
      <c r="Y608" s="278"/>
    </row>
    <row r="609">
      <c r="Y609" s="278"/>
    </row>
    <row r="610">
      <c r="Y610" s="278"/>
    </row>
    <row r="611">
      <c r="Y611" s="278"/>
    </row>
    <row r="612">
      <c r="Y612" s="278"/>
    </row>
    <row r="613">
      <c r="Y613" s="278"/>
    </row>
    <row r="614">
      <c r="Y614" s="278"/>
    </row>
    <row r="615">
      <c r="Y615" s="278"/>
    </row>
    <row r="616">
      <c r="Y616" s="278"/>
    </row>
    <row r="617">
      <c r="Y617" s="278"/>
    </row>
    <row r="618">
      <c r="Y618" s="278"/>
    </row>
    <row r="619">
      <c r="Y619" s="278"/>
    </row>
    <row r="620">
      <c r="Y620" s="278"/>
    </row>
    <row r="621">
      <c r="Y621" s="278"/>
    </row>
    <row r="622">
      <c r="Y622" s="278"/>
    </row>
    <row r="623">
      <c r="Y623" s="278"/>
    </row>
    <row r="624">
      <c r="Y624" s="278"/>
    </row>
    <row r="625">
      <c r="Y625" s="278"/>
    </row>
    <row r="626">
      <c r="Y626" s="278"/>
    </row>
    <row r="627">
      <c r="Y627" s="278"/>
    </row>
    <row r="628">
      <c r="Y628" s="278"/>
    </row>
    <row r="629">
      <c r="Y629" s="278"/>
    </row>
    <row r="630">
      <c r="Y630" s="278"/>
    </row>
    <row r="631">
      <c r="Y631" s="278"/>
    </row>
    <row r="632">
      <c r="Y632" s="278"/>
    </row>
    <row r="633">
      <c r="Y633" s="278"/>
    </row>
    <row r="634">
      <c r="Y634" s="278"/>
    </row>
    <row r="635">
      <c r="Y635" s="278"/>
    </row>
    <row r="636">
      <c r="Y636" s="278"/>
    </row>
    <row r="637">
      <c r="Y637" s="278"/>
    </row>
    <row r="638">
      <c r="Y638" s="278"/>
    </row>
    <row r="639">
      <c r="Y639" s="278"/>
    </row>
    <row r="640">
      <c r="Y640" s="278"/>
    </row>
    <row r="641">
      <c r="Y641" s="278"/>
    </row>
    <row r="642">
      <c r="Y642" s="278"/>
    </row>
    <row r="643">
      <c r="Y643" s="278"/>
    </row>
    <row r="644">
      <c r="Y644" s="278"/>
    </row>
    <row r="645">
      <c r="Y645" s="278"/>
    </row>
    <row r="646">
      <c r="Y646" s="278"/>
    </row>
    <row r="647">
      <c r="Y647" s="278"/>
    </row>
    <row r="648">
      <c r="Y648" s="278"/>
    </row>
    <row r="649">
      <c r="Y649" s="278"/>
    </row>
    <row r="650">
      <c r="Y650" s="278"/>
    </row>
    <row r="651">
      <c r="Y651" s="278"/>
    </row>
    <row r="652">
      <c r="Y652" s="278"/>
    </row>
    <row r="653">
      <c r="Y653" s="278"/>
    </row>
    <row r="654">
      <c r="Y654" s="278"/>
    </row>
    <row r="655">
      <c r="Y655" s="278"/>
    </row>
    <row r="656">
      <c r="Y656" s="278"/>
    </row>
    <row r="657">
      <c r="Y657" s="278"/>
    </row>
    <row r="658">
      <c r="Y658" s="278"/>
    </row>
    <row r="659">
      <c r="Y659" s="278"/>
    </row>
    <row r="660">
      <c r="Y660" s="278"/>
    </row>
    <row r="661">
      <c r="Y661" s="278"/>
    </row>
    <row r="662">
      <c r="Y662" s="278"/>
    </row>
    <row r="663">
      <c r="Y663" s="278"/>
    </row>
    <row r="664">
      <c r="Y664" s="278"/>
    </row>
    <row r="665">
      <c r="Y665" s="278"/>
    </row>
    <row r="666">
      <c r="Y666" s="278"/>
    </row>
    <row r="667">
      <c r="Y667" s="278"/>
    </row>
    <row r="668">
      <c r="Y668" s="278"/>
    </row>
    <row r="669">
      <c r="Y669" s="278"/>
    </row>
    <row r="670">
      <c r="Y670" s="278"/>
    </row>
    <row r="671">
      <c r="Y671" s="278"/>
    </row>
    <row r="672">
      <c r="Y672" s="278"/>
    </row>
    <row r="673">
      <c r="Y673" s="278"/>
    </row>
    <row r="674">
      <c r="Y674" s="278"/>
    </row>
    <row r="675">
      <c r="Y675" s="278"/>
    </row>
    <row r="676">
      <c r="Y676" s="278"/>
    </row>
    <row r="677">
      <c r="Y677" s="278"/>
    </row>
    <row r="678">
      <c r="Y678" s="278"/>
    </row>
    <row r="679">
      <c r="Y679" s="278"/>
    </row>
    <row r="680">
      <c r="Y680" s="278"/>
    </row>
    <row r="681">
      <c r="Y681" s="278"/>
    </row>
    <row r="682">
      <c r="Y682" s="278"/>
    </row>
    <row r="683">
      <c r="Y683" s="278"/>
    </row>
    <row r="684">
      <c r="Y684" s="278"/>
    </row>
    <row r="685">
      <c r="Y685" s="278"/>
    </row>
    <row r="686">
      <c r="Y686" s="278"/>
    </row>
    <row r="687">
      <c r="Y687" s="278"/>
    </row>
    <row r="688">
      <c r="Y688" s="278"/>
    </row>
    <row r="689">
      <c r="Y689" s="278"/>
    </row>
    <row r="690">
      <c r="Y690" s="278"/>
    </row>
    <row r="691">
      <c r="Y691" s="278"/>
    </row>
    <row r="692">
      <c r="Y692" s="278"/>
    </row>
    <row r="693">
      <c r="Y693" s="278"/>
    </row>
    <row r="694">
      <c r="Y694" s="278"/>
    </row>
    <row r="695">
      <c r="Y695" s="278"/>
    </row>
    <row r="696">
      <c r="Y696" s="278"/>
    </row>
    <row r="697">
      <c r="Y697" s="278"/>
    </row>
    <row r="698">
      <c r="Y698" s="278"/>
    </row>
    <row r="699">
      <c r="Y699" s="278"/>
    </row>
    <row r="700">
      <c r="Y700" s="278"/>
    </row>
    <row r="701">
      <c r="Y701" s="278"/>
    </row>
    <row r="702">
      <c r="Y702" s="278"/>
    </row>
    <row r="703">
      <c r="Y703" s="278"/>
    </row>
    <row r="704">
      <c r="Y704" s="278"/>
    </row>
    <row r="705">
      <c r="Y705" s="278"/>
    </row>
    <row r="706">
      <c r="Y706" s="278"/>
    </row>
    <row r="707">
      <c r="Y707" s="278"/>
    </row>
    <row r="708">
      <c r="Y708" s="278"/>
    </row>
    <row r="709">
      <c r="Y709" s="278"/>
    </row>
    <row r="710">
      <c r="Y710" s="278"/>
    </row>
    <row r="711">
      <c r="Y711" s="278"/>
    </row>
    <row r="712">
      <c r="Y712" s="278"/>
    </row>
    <row r="713">
      <c r="Y713" s="278"/>
    </row>
    <row r="714">
      <c r="Y714" s="278"/>
    </row>
    <row r="715">
      <c r="Y715" s="278"/>
    </row>
    <row r="716">
      <c r="Y716" s="278"/>
    </row>
    <row r="717">
      <c r="Y717" s="278"/>
    </row>
    <row r="718">
      <c r="Y718" s="278"/>
    </row>
    <row r="719">
      <c r="Y719" s="278"/>
    </row>
    <row r="720">
      <c r="Y720" s="278"/>
    </row>
    <row r="721">
      <c r="Y721" s="278"/>
    </row>
    <row r="722">
      <c r="Y722" s="278"/>
    </row>
    <row r="723">
      <c r="Y723" s="278"/>
    </row>
    <row r="724">
      <c r="Y724" s="278"/>
    </row>
    <row r="725">
      <c r="Y725" s="278"/>
    </row>
    <row r="726">
      <c r="Y726" s="278"/>
    </row>
    <row r="727">
      <c r="Y727" s="278"/>
    </row>
    <row r="728">
      <c r="Y728" s="278"/>
    </row>
    <row r="729">
      <c r="Y729" s="278"/>
    </row>
    <row r="730">
      <c r="Y730" s="278"/>
    </row>
    <row r="731">
      <c r="Y731" s="278"/>
    </row>
    <row r="732">
      <c r="Y732" s="278"/>
    </row>
    <row r="733">
      <c r="Y733" s="278"/>
    </row>
    <row r="734">
      <c r="Y734" s="278"/>
    </row>
    <row r="735">
      <c r="Y735" s="278"/>
    </row>
    <row r="736">
      <c r="Y736" s="278"/>
    </row>
    <row r="737">
      <c r="Y737" s="278"/>
    </row>
    <row r="738">
      <c r="Y738" s="278"/>
    </row>
    <row r="739">
      <c r="Y739" s="278"/>
    </row>
    <row r="740">
      <c r="Y740" s="278"/>
    </row>
    <row r="741">
      <c r="Y741" s="278"/>
    </row>
    <row r="742">
      <c r="Y742" s="278"/>
    </row>
    <row r="743">
      <c r="Y743" s="278"/>
    </row>
    <row r="744">
      <c r="Y744" s="278"/>
    </row>
    <row r="745">
      <c r="Y745" s="278"/>
    </row>
    <row r="746">
      <c r="Y746" s="278"/>
    </row>
    <row r="747">
      <c r="Y747" s="278"/>
    </row>
    <row r="748">
      <c r="Y748" s="278"/>
    </row>
    <row r="749">
      <c r="Y749" s="278"/>
    </row>
    <row r="750">
      <c r="Y750" s="278"/>
    </row>
    <row r="751">
      <c r="Y751" s="278"/>
    </row>
    <row r="752">
      <c r="Y752" s="278"/>
    </row>
    <row r="753">
      <c r="Y753" s="278"/>
    </row>
    <row r="754">
      <c r="Y754" s="278"/>
    </row>
    <row r="755">
      <c r="Y755" s="278"/>
    </row>
    <row r="756">
      <c r="Y756" s="278"/>
    </row>
    <row r="757">
      <c r="Y757" s="278"/>
    </row>
    <row r="758">
      <c r="Y758" s="278"/>
    </row>
    <row r="759">
      <c r="Y759" s="278"/>
    </row>
    <row r="760">
      <c r="Y760" s="278"/>
    </row>
    <row r="761">
      <c r="Y761" s="278"/>
    </row>
    <row r="762">
      <c r="Y762" s="278"/>
    </row>
    <row r="763">
      <c r="Y763" s="278"/>
    </row>
    <row r="764">
      <c r="Y764" s="278"/>
    </row>
    <row r="765">
      <c r="Y765" s="278"/>
    </row>
    <row r="766">
      <c r="Y766" s="278"/>
    </row>
    <row r="767">
      <c r="Y767" s="278"/>
    </row>
    <row r="768">
      <c r="Y768" s="278"/>
    </row>
    <row r="769">
      <c r="Y769" s="278"/>
    </row>
    <row r="770">
      <c r="Y770" s="278"/>
    </row>
    <row r="771">
      <c r="Y771" s="278"/>
    </row>
    <row r="772">
      <c r="Y772" s="278"/>
    </row>
    <row r="773">
      <c r="Y773" s="278"/>
    </row>
    <row r="774">
      <c r="Y774" s="278"/>
    </row>
    <row r="775">
      <c r="Y775" s="278"/>
    </row>
    <row r="776">
      <c r="Y776" s="278"/>
    </row>
    <row r="777">
      <c r="Y777" s="278"/>
    </row>
    <row r="778">
      <c r="Y778" s="278"/>
    </row>
    <row r="779">
      <c r="Y779" s="278"/>
    </row>
    <row r="780">
      <c r="Y780" s="278"/>
    </row>
    <row r="781">
      <c r="Y781" s="278"/>
    </row>
    <row r="782">
      <c r="Y782" s="278"/>
    </row>
    <row r="783">
      <c r="Y783" s="278"/>
    </row>
    <row r="784">
      <c r="Y784" s="278"/>
    </row>
    <row r="785">
      <c r="Y785" s="278"/>
    </row>
    <row r="786">
      <c r="Y786" s="278"/>
    </row>
    <row r="787">
      <c r="Y787" s="278"/>
    </row>
    <row r="788">
      <c r="Y788" s="278"/>
    </row>
    <row r="789">
      <c r="Y789" s="278"/>
    </row>
    <row r="790">
      <c r="Y790" s="278"/>
    </row>
    <row r="791">
      <c r="Y791" s="278"/>
    </row>
    <row r="792">
      <c r="Y792" s="278"/>
    </row>
    <row r="793">
      <c r="Y793" s="278"/>
    </row>
    <row r="794">
      <c r="Y794" s="278"/>
    </row>
    <row r="795">
      <c r="Y795" s="278"/>
    </row>
    <row r="796">
      <c r="Y796" s="278"/>
    </row>
    <row r="797">
      <c r="Y797" s="278"/>
    </row>
    <row r="798">
      <c r="Y798" s="278"/>
    </row>
    <row r="799">
      <c r="Y799" s="278"/>
    </row>
    <row r="800">
      <c r="Y800" s="278"/>
    </row>
    <row r="801">
      <c r="Y801" s="278"/>
    </row>
    <row r="802">
      <c r="Y802" s="278"/>
    </row>
    <row r="803">
      <c r="Y803" s="278"/>
    </row>
    <row r="804">
      <c r="Y804" s="278"/>
    </row>
    <row r="805">
      <c r="Y805" s="278"/>
    </row>
    <row r="806">
      <c r="Y806" s="278"/>
    </row>
    <row r="807">
      <c r="Y807" s="278"/>
    </row>
    <row r="808">
      <c r="Y808" s="278"/>
    </row>
    <row r="809">
      <c r="Y809" s="278"/>
    </row>
    <row r="810">
      <c r="Y810" s="278"/>
    </row>
    <row r="811">
      <c r="Y811" s="278"/>
    </row>
    <row r="812">
      <c r="Y812" s="278"/>
    </row>
    <row r="813">
      <c r="Y813" s="278"/>
    </row>
    <row r="814">
      <c r="Y814" s="278"/>
    </row>
    <row r="815">
      <c r="Y815" s="278"/>
    </row>
    <row r="816">
      <c r="Y816" s="278"/>
    </row>
    <row r="817">
      <c r="Y817" s="278"/>
    </row>
    <row r="818">
      <c r="Y818" s="278"/>
    </row>
    <row r="819">
      <c r="Y819" s="278"/>
    </row>
    <row r="820">
      <c r="Y820" s="278"/>
    </row>
    <row r="821">
      <c r="Y821" s="278"/>
    </row>
    <row r="822">
      <c r="Y822" s="278"/>
    </row>
    <row r="823">
      <c r="Y823" s="278"/>
    </row>
    <row r="824">
      <c r="Y824" s="278"/>
    </row>
    <row r="825">
      <c r="Y825" s="278"/>
    </row>
    <row r="826">
      <c r="Y826" s="278"/>
    </row>
    <row r="827">
      <c r="Y827" s="278"/>
    </row>
    <row r="828">
      <c r="Y828" s="278"/>
    </row>
    <row r="829">
      <c r="Y829" s="278"/>
    </row>
    <row r="830">
      <c r="Y830" s="278"/>
    </row>
    <row r="831">
      <c r="Y831" s="278"/>
    </row>
    <row r="832">
      <c r="Y832" s="278"/>
    </row>
    <row r="833">
      <c r="Y833" s="278"/>
    </row>
    <row r="834">
      <c r="Y834" s="278"/>
    </row>
    <row r="835">
      <c r="Y835" s="278"/>
    </row>
    <row r="836">
      <c r="Y836" s="278"/>
    </row>
    <row r="837">
      <c r="Y837" s="278"/>
    </row>
    <row r="838">
      <c r="Y838" s="278"/>
    </row>
    <row r="839">
      <c r="Y839" s="278"/>
    </row>
    <row r="840">
      <c r="Y840" s="278"/>
    </row>
    <row r="841">
      <c r="Y841" s="278"/>
    </row>
    <row r="842">
      <c r="Y842" s="278"/>
    </row>
    <row r="843">
      <c r="Y843" s="278"/>
    </row>
    <row r="844">
      <c r="Y844" s="278"/>
    </row>
    <row r="845">
      <c r="Y845" s="278"/>
    </row>
    <row r="846">
      <c r="Y846" s="278"/>
    </row>
    <row r="847">
      <c r="Y847" s="278"/>
    </row>
    <row r="848">
      <c r="Y848" s="278"/>
    </row>
    <row r="849">
      <c r="Y849" s="278"/>
    </row>
    <row r="850">
      <c r="Y850" s="278"/>
    </row>
    <row r="851">
      <c r="Y851" s="278"/>
    </row>
    <row r="852">
      <c r="Y852" s="278"/>
    </row>
    <row r="853">
      <c r="Y853" s="278"/>
    </row>
    <row r="854">
      <c r="Y854" s="278"/>
    </row>
    <row r="855">
      <c r="Y855" s="278"/>
    </row>
    <row r="856">
      <c r="Y856" s="278"/>
    </row>
    <row r="857">
      <c r="Y857" s="278"/>
    </row>
    <row r="858">
      <c r="Y858" s="278"/>
    </row>
    <row r="859">
      <c r="Y859" s="278"/>
    </row>
    <row r="860">
      <c r="Y860" s="278"/>
    </row>
    <row r="861">
      <c r="Y861" s="278"/>
    </row>
    <row r="862">
      <c r="Y862" s="278"/>
    </row>
    <row r="863">
      <c r="Y863" s="278"/>
    </row>
    <row r="864">
      <c r="Y864" s="278"/>
    </row>
    <row r="865">
      <c r="Y865" s="278"/>
    </row>
    <row r="866">
      <c r="Y866" s="278"/>
    </row>
    <row r="867">
      <c r="Y867" s="278"/>
    </row>
    <row r="868">
      <c r="Y868" s="278"/>
    </row>
    <row r="869">
      <c r="Y869" s="278"/>
    </row>
    <row r="870">
      <c r="Y870" s="278"/>
    </row>
    <row r="871">
      <c r="Y871" s="278"/>
    </row>
    <row r="872">
      <c r="Y872" s="278"/>
    </row>
    <row r="873">
      <c r="Y873" s="278"/>
    </row>
    <row r="874">
      <c r="Y874" s="278"/>
    </row>
    <row r="875">
      <c r="Y875" s="278"/>
    </row>
    <row r="876">
      <c r="Y876" s="278"/>
    </row>
    <row r="877">
      <c r="Y877" s="278"/>
    </row>
    <row r="878">
      <c r="Y878" s="278"/>
    </row>
    <row r="879">
      <c r="Y879" s="278"/>
    </row>
    <row r="880">
      <c r="Y880" s="278"/>
    </row>
    <row r="881">
      <c r="Y881" s="278"/>
    </row>
    <row r="882">
      <c r="Y882" s="278"/>
    </row>
    <row r="883">
      <c r="Y883" s="278"/>
    </row>
    <row r="884">
      <c r="Y884" s="278"/>
    </row>
    <row r="885">
      <c r="Y885" s="278"/>
    </row>
    <row r="886">
      <c r="Y886" s="278"/>
    </row>
    <row r="887">
      <c r="Y887" s="278"/>
    </row>
    <row r="888">
      <c r="Y888" s="278"/>
    </row>
    <row r="889">
      <c r="Y889" s="278"/>
    </row>
    <row r="890">
      <c r="Y890" s="278"/>
    </row>
    <row r="891">
      <c r="Y891" s="278"/>
    </row>
    <row r="892">
      <c r="Y892" s="278"/>
    </row>
    <row r="893">
      <c r="Y893" s="278"/>
    </row>
    <row r="894">
      <c r="Y894" s="278"/>
    </row>
    <row r="895">
      <c r="Y895" s="278"/>
    </row>
    <row r="896">
      <c r="Y896" s="278"/>
    </row>
    <row r="897">
      <c r="Y897" s="278"/>
    </row>
    <row r="898">
      <c r="Y898" s="278"/>
    </row>
    <row r="899">
      <c r="Y899" s="278"/>
    </row>
    <row r="900">
      <c r="Y900" s="278"/>
    </row>
    <row r="901">
      <c r="Y901" s="278"/>
    </row>
    <row r="902">
      <c r="Y902" s="278"/>
    </row>
    <row r="903">
      <c r="Y903" s="278"/>
    </row>
    <row r="904">
      <c r="Y904" s="278"/>
    </row>
    <row r="905">
      <c r="Y905" s="278"/>
    </row>
    <row r="906">
      <c r="Y906" s="278"/>
    </row>
    <row r="907">
      <c r="Y907" s="278"/>
    </row>
    <row r="908">
      <c r="Y908" s="278"/>
    </row>
    <row r="909">
      <c r="Y909" s="278"/>
    </row>
    <row r="910">
      <c r="Y910" s="278"/>
    </row>
    <row r="911">
      <c r="Y911" s="278"/>
    </row>
    <row r="912">
      <c r="Y912" s="278"/>
    </row>
    <row r="913">
      <c r="Y913" s="278"/>
    </row>
    <row r="914">
      <c r="Y914" s="278"/>
    </row>
    <row r="915">
      <c r="Y915" s="278"/>
    </row>
    <row r="916">
      <c r="Y916" s="278"/>
    </row>
    <row r="917">
      <c r="Y917" s="278"/>
    </row>
    <row r="918">
      <c r="Y918" s="278"/>
    </row>
    <row r="919">
      <c r="Y919" s="278"/>
    </row>
    <row r="920">
      <c r="Y920" s="278"/>
    </row>
    <row r="921">
      <c r="Y921" s="278"/>
    </row>
    <row r="922">
      <c r="Y922" s="278"/>
    </row>
    <row r="923">
      <c r="Y923" s="278"/>
    </row>
    <row r="924">
      <c r="Y924" s="278"/>
    </row>
    <row r="925">
      <c r="Y925" s="278"/>
    </row>
    <row r="926">
      <c r="Y926" s="278"/>
    </row>
    <row r="927">
      <c r="Y927" s="278"/>
    </row>
    <row r="928">
      <c r="Y928" s="278"/>
    </row>
    <row r="929">
      <c r="Y929" s="278"/>
    </row>
    <row r="930">
      <c r="Y930" s="278"/>
    </row>
    <row r="931">
      <c r="Y931" s="278"/>
    </row>
    <row r="932">
      <c r="Y932" s="278"/>
    </row>
    <row r="933">
      <c r="Y933" s="278"/>
    </row>
    <row r="934">
      <c r="Y934" s="278"/>
    </row>
    <row r="935">
      <c r="Y935" s="278"/>
    </row>
    <row r="936">
      <c r="Y936" s="278"/>
    </row>
    <row r="937">
      <c r="Y937" s="278"/>
    </row>
    <row r="938">
      <c r="Y938" s="278"/>
    </row>
    <row r="939">
      <c r="Y939" s="278"/>
    </row>
    <row r="940">
      <c r="Y940" s="278"/>
    </row>
    <row r="941">
      <c r="Y941" s="278"/>
    </row>
    <row r="942">
      <c r="Y942" s="278"/>
    </row>
    <row r="943">
      <c r="Y943" s="278"/>
    </row>
    <row r="944">
      <c r="Y944" s="278"/>
    </row>
    <row r="945">
      <c r="Y945" s="278"/>
    </row>
    <row r="946">
      <c r="Y946" s="278"/>
    </row>
    <row r="947">
      <c r="Y947" s="278"/>
    </row>
    <row r="948">
      <c r="Y948" s="278"/>
    </row>
    <row r="949">
      <c r="Y949" s="278"/>
    </row>
    <row r="950">
      <c r="Y950" s="278"/>
    </row>
    <row r="951">
      <c r="Y951" s="278"/>
    </row>
    <row r="952">
      <c r="Y952" s="278"/>
    </row>
    <row r="953">
      <c r="Y953" s="278"/>
    </row>
    <row r="954">
      <c r="Y954" s="278"/>
    </row>
    <row r="955">
      <c r="Y955" s="278"/>
    </row>
    <row r="956">
      <c r="Y956" s="278"/>
    </row>
    <row r="957">
      <c r="Y957" s="278"/>
    </row>
    <row r="958">
      <c r="Y958" s="278"/>
    </row>
    <row r="959">
      <c r="Y959" s="278"/>
    </row>
    <row r="960">
      <c r="Y960" s="278"/>
    </row>
    <row r="961">
      <c r="Y961" s="278"/>
    </row>
    <row r="962">
      <c r="Y962" s="278"/>
    </row>
    <row r="963">
      <c r="Y963" s="278"/>
    </row>
    <row r="964">
      <c r="Y964" s="278"/>
    </row>
    <row r="965">
      <c r="Y965" s="278"/>
    </row>
    <row r="966">
      <c r="Y966" s="278"/>
    </row>
    <row r="967">
      <c r="Y967" s="278"/>
    </row>
    <row r="968">
      <c r="Y968" s="278"/>
    </row>
    <row r="969">
      <c r="Y969" s="278"/>
    </row>
    <row r="970">
      <c r="Y970" s="278"/>
    </row>
    <row r="971">
      <c r="Y971" s="278"/>
    </row>
    <row r="972">
      <c r="Y972" s="278"/>
    </row>
    <row r="973">
      <c r="Y973" s="278"/>
    </row>
    <row r="974">
      <c r="Y974" s="278"/>
    </row>
    <row r="975">
      <c r="Y975" s="278"/>
    </row>
    <row r="976">
      <c r="Y976" s="278"/>
    </row>
    <row r="977">
      <c r="Y977" s="278"/>
    </row>
    <row r="978">
      <c r="Y978" s="278"/>
    </row>
    <row r="979">
      <c r="Y979" s="278"/>
    </row>
    <row r="980">
      <c r="Y980" s="278"/>
    </row>
    <row r="981">
      <c r="Y981" s="278"/>
    </row>
    <row r="982">
      <c r="Y982" s="278"/>
    </row>
    <row r="983">
      <c r="Y983" s="278"/>
    </row>
    <row r="984">
      <c r="Y984" s="278"/>
    </row>
    <row r="985">
      <c r="Y985" s="278"/>
    </row>
    <row r="986">
      <c r="Y986" s="278"/>
    </row>
    <row r="987">
      <c r="Y987" s="278"/>
    </row>
    <row r="988">
      <c r="Y988" s="278"/>
    </row>
    <row r="989">
      <c r="Y989" s="278"/>
    </row>
    <row r="990">
      <c r="Y990" s="278"/>
    </row>
    <row r="991">
      <c r="Y991" s="278"/>
    </row>
    <row r="992">
      <c r="Y992" s="278"/>
    </row>
    <row r="993">
      <c r="Y993" s="278"/>
    </row>
    <row r="994">
      <c r="Y994" s="278"/>
    </row>
    <row r="995">
      <c r="Y995" s="278"/>
    </row>
    <row r="996">
      <c r="Y996" s="278"/>
    </row>
    <row r="997">
      <c r="Y997" s="278"/>
    </row>
    <row r="998">
      <c r="Y998" s="278"/>
    </row>
    <row r="999">
      <c r="Y999" s="278"/>
    </row>
    <row r="1000">
      <c r="Y1000" s="278"/>
    </row>
    <row r="1001">
      <c r="Y1001" s="278"/>
    </row>
    <row r="1002">
      <c r="Y1002" s="278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93"/>
      <c r="C1" s="493"/>
      <c r="D1" s="493"/>
      <c r="E1" s="493"/>
      <c r="F1" s="493"/>
      <c r="G1" s="493"/>
    </row>
    <row r="2">
      <c r="B2" s="489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90" t="str">
        <f>IFERROR(__xludf.DUMMYFUNCTION("""COMPUTED_VALUE"""),"Sales")</f>
        <v>Sales</v>
      </c>
      <c r="D2" s="490" t="str">
        <f>IFERROR(__xludf.DUMMYFUNCTION("""COMPUTED_VALUE"""),"Same PD LY")</f>
        <v>Same PD LY</v>
      </c>
      <c r="E2" s="490" t="str">
        <f>IFERROR(__xludf.DUMMYFUNCTION("""COMPUTED_VALUE"""),"Dollar Change")</f>
        <v>Dollar Change</v>
      </c>
      <c r="F2" s="491" t="str">
        <f>IFERROR(__xludf.DUMMYFUNCTION("""COMPUTED_VALUE"""),"Percent Change")</f>
        <v>Percent Change</v>
      </c>
      <c r="G2" s="490" t="str">
        <f>IFERROR(__xludf.DUMMYFUNCTION("""COMPUTED_VALUE"""),"PD Budget")</f>
        <v>PD Budget</v>
      </c>
      <c r="H2" s="490" t="str">
        <f>IFERROR(__xludf.DUMMYFUNCTION("""COMPUTED_VALUE"""),"Var to Bud +/-")</f>
        <v>Var to Bud +/-</v>
      </c>
      <c r="I2" s="490" t="str">
        <f>IFERROR(__xludf.DUMMYFUNCTION("""COMPUTED_VALUE"""),"Var to Bud ")</f>
        <v>Var to Bud </v>
      </c>
      <c r="J2" s="490" t="str">
        <f>IFERROR(__xludf.DUMMYFUNCTION("""COMPUTED_VALUE"""),"Total Labor ")</f>
        <v>Total Labor </v>
      </c>
      <c r="K2" s="490" t="str">
        <f>IFERROR(__xludf.DUMMYFUNCTION("""COMPUTED_VALUE"""),"Bud Labor ")</f>
        <v>Bud Labor </v>
      </c>
      <c r="L2" s="490" t="str">
        <f>IFERROR(__xludf.DUMMYFUNCTION("""COMPUTED_VALUE"""),"Var Lbr to Bud")</f>
        <v>Var Lbr to Bud</v>
      </c>
      <c r="M2" s="490" t="str">
        <f>IFERROR(__xludf.DUMMYFUNCTION("""COMPUTED_VALUE"""),"Total COGS")</f>
        <v>Total COGS</v>
      </c>
      <c r="N2" s="508" t="str">
        <f>IFERROR(__xludf.DUMMYFUNCTION("""COMPUTED_VALUE"""),"Bud COGS")</f>
        <v>Bud COGS</v>
      </c>
      <c r="O2" s="490" t="str">
        <f>IFERROR(__xludf.DUMMYFUNCTION("""COMPUTED_VALUE"""),"Var COGS to Bud")</f>
        <v>Var COGS to Bud</v>
      </c>
      <c r="P2" s="490" t="str">
        <f>IFERROR(__xludf.DUMMYFUNCTION("""COMPUTED_VALUE"""),"Total PC ")</f>
        <v>Total PC </v>
      </c>
      <c r="Q2" s="490" t="str">
        <f>IFERROR(__xludf.DUMMYFUNCTION("""COMPUTED_VALUE"""),"Bud PC")</f>
        <v>Bud PC</v>
      </c>
      <c r="R2" s="490" t="str">
        <f>IFERROR(__xludf.DUMMYFUNCTION("""COMPUTED_VALUE"""),"Var PC to Bud")</f>
        <v>Var PC to Bud</v>
      </c>
      <c r="S2" s="526" t="s">
        <v>161</v>
      </c>
      <c r="T2" s="526" t="s">
        <v>162</v>
      </c>
      <c r="U2" s="526" t="s">
        <v>163</v>
      </c>
      <c r="V2" s="526" t="s">
        <v>164</v>
      </c>
      <c r="W2" s="533"/>
      <c r="X2" s="493"/>
      <c r="Y2" s="534"/>
      <c r="Z2" s="493"/>
      <c r="AA2" s="493"/>
    </row>
    <row r="3">
      <c r="B3" s="535" t="str">
        <f>IFERROR(__xludf.DUMMYFUNCTION("""COMPUTED_VALUE"""),"Ballpark")</f>
        <v>Ballpark</v>
      </c>
      <c r="C3" s="495">
        <f>IFERROR(__xludf.DUMMYFUNCTION("""COMPUTED_VALUE"""),17965.0)</f>
        <v>17965</v>
      </c>
      <c r="D3" s="495">
        <f>IFERROR(__xludf.DUMMYFUNCTION("""COMPUTED_VALUE"""),23808.0)</f>
        <v>23808</v>
      </c>
      <c r="E3" s="496">
        <f>IFERROR(__xludf.DUMMYFUNCTION("""COMPUTED_VALUE"""),-5843.0)</f>
        <v>-5843</v>
      </c>
      <c r="F3" s="536">
        <f>IFERROR(__xludf.DUMMYFUNCTION("""COMPUTED_VALUE"""),-0.2454217069892473)</f>
        <v>-0.245421707</v>
      </c>
      <c r="G3" s="495">
        <f>IFERROR(__xludf.DUMMYFUNCTION("""COMPUTED_VALUE"""),22308.25)</f>
        <v>22308.25</v>
      </c>
      <c r="H3" s="496">
        <f>IFERROR(__xludf.DUMMYFUNCTION("""COMPUTED_VALUE"""),-4343.25)</f>
        <v>-4343.25</v>
      </c>
      <c r="I3" s="536">
        <f>IFERROR(__xludf.DUMMYFUNCTION("""COMPUTED_VALUE"""),-0.19469254647944145)</f>
        <v>-0.1946925465</v>
      </c>
      <c r="J3" s="498">
        <f>IFERROR(__xludf.DUMMYFUNCTION("""COMPUTED_VALUE"""),0.296)</f>
        <v>0.296</v>
      </c>
      <c r="K3" s="498">
        <f>IFERROR(__xludf.DUMMYFUNCTION("""COMPUTED_VALUE"""),0.301)</f>
        <v>0.301</v>
      </c>
      <c r="L3" s="499">
        <f>IFERROR(__xludf.DUMMYFUNCTION("""COMPUTED_VALUE"""),-0.0050000000000000044)</f>
        <v>-0.005</v>
      </c>
      <c r="M3" s="500">
        <f>IFERROR(__xludf.DUMMYFUNCTION("""COMPUTED_VALUE"""),0.311)</f>
        <v>0.311</v>
      </c>
      <c r="N3" s="498">
        <f>IFERROR(__xludf.DUMMYFUNCTION("""COMPUTED_VALUE"""),0.264)</f>
        <v>0.264</v>
      </c>
      <c r="O3" s="497">
        <f>IFERROR(__xludf.DUMMYFUNCTION("""COMPUTED_VALUE"""),0.046999999999999986)</f>
        <v>0.047</v>
      </c>
      <c r="P3" s="498">
        <f>IFERROR(__xludf.DUMMYFUNCTION("""COMPUTED_VALUE"""),0.607)</f>
        <v>0.607</v>
      </c>
      <c r="Q3" s="498">
        <f>IFERROR(__xludf.DUMMYFUNCTION("""COMPUTED_VALUE"""),0.565)</f>
        <v>0.565</v>
      </c>
      <c r="R3" s="497">
        <f>IFERROR(__xludf.DUMMYFUNCTION("""COMPUTED_VALUE"""),0.04200000000000004)</f>
        <v>0.042</v>
      </c>
      <c r="S3" s="537" t="str">
        <f>IFERROR(__xludf.DUMMYFUNCTION("IMPORTRANGE(""https://docs.google.com/spreadsheets/d/1rvSw8TokJxxMPNo9zCeN0TVGCwqWJYqsUgV1Y381wpc/edit?gid=1529235844#gid=1529235844"",""Profit and Loss_Sas_BP!Q387"")"),"")</f>
        <v/>
      </c>
      <c r="T3" s="537">
        <f>IFERROR(__xludf.DUMMYFUNCTION("IMPORTRANGE(""https://docs.google.com/spreadsheets/d/1rvSw8TokJxxMPNo9zCeN0TVGCwqWJYqsUgV1Y381wpc/edit?gid=1529235844#gid=1529235844"",""Profit and Loss_Sas_BP!AA387"")"),0.0)</f>
        <v>0</v>
      </c>
      <c r="U3" s="537">
        <f t="shared" ref="U3:U8" si="1">S3-T3</f>
        <v>0</v>
      </c>
      <c r="V3" s="538" t="str">
        <f t="shared" ref="V3:V8" si="2">U3/T3</f>
        <v>#DIV/0!</v>
      </c>
      <c r="W3" s="510"/>
      <c r="X3" s="492"/>
      <c r="Y3" s="527"/>
      <c r="Z3" s="493"/>
      <c r="AA3" s="533"/>
    </row>
    <row r="4">
      <c r="B4" s="535" t="str">
        <f>IFERROR(__xludf.DUMMYFUNCTION("""COMPUTED_VALUE"""),"Mosaic")</f>
        <v>Mosaic</v>
      </c>
      <c r="C4" s="495">
        <f>IFERROR(__xludf.DUMMYFUNCTION("""COMPUTED_VALUE"""),30952.0)</f>
        <v>30952</v>
      </c>
      <c r="D4" s="495">
        <f>IFERROR(__xludf.DUMMYFUNCTION("""COMPUTED_VALUE"""),20892.0)</f>
        <v>20892</v>
      </c>
      <c r="E4" s="496">
        <f>IFERROR(__xludf.DUMMYFUNCTION("""COMPUTED_VALUE"""),10060.0)</f>
        <v>10060</v>
      </c>
      <c r="F4" s="536">
        <f>IFERROR(__xludf.DUMMYFUNCTION("""COMPUTED_VALUE"""),0.4815240283362052)</f>
        <v>0.4815240283</v>
      </c>
      <c r="G4" s="495">
        <f>IFERROR(__xludf.DUMMYFUNCTION("""COMPUTED_VALUE"""),29278.98)</f>
        <v>29278.98</v>
      </c>
      <c r="H4" s="496">
        <f>IFERROR(__xludf.DUMMYFUNCTION("""COMPUTED_VALUE"""),1673.0200000000004)</f>
        <v>1673.02</v>
      </c>
      <c r="I4" s="536">
        <f>IFERROR(__xludf.DUMMYFUNCTION("""COMPUTED_VALUE"""),0.057140651757677366)</f>
        <v>0.05714065176</v>
      </c>
      <c r="J4" s="498">
        <f>IFERROR(__xludf.DUMMYFUNCTION("""COMPUTED_VALUE"""),0.209)</f>
        <v>0.209</v>
      </c>
      <c r="K4" s="498">
        <f>IFERROR(__xludf.DUMMYFUNCTION("""COMPUTED_VALUE"""),0.268)</f>
        <v>0.268</v>
      </c>
      <c r="L4" s="499">
        <f>IFERROR(__xludf.DUMMYFUNCTION("""COMPUTED_VALUE"""),-0.059000000000000025)</f>
        <v>-0.059</v>
      </c>
      <c r="M4" s="500">
        <f>IFERROR(__xludf.DUMMYFUNCTION("""COMPUTED_VALUE"""),0.283)</f>
        <v>0.283</v>
      </c>
      <c r="N4" s="498">
        <f>IFERROR(__xludf.DUMMYFUNCTION("""COMPUTED_VALUE"""),0.267)</f>
        <v>0.267</v>
      </c>
      <c r="O4" s="497">
        <f>IFERROR(__xludf.DUMMYFUNCTION("""COMPUTED_VALUE"""),0.01599999999999996)</f>
        <v>0.016</v>
      </c>
      <c r="P4" s="498">
        <f>IFERROR(__xludf.DUMMYFUNCTION("""COMPUTED_VALUE"""),0.492)</f>
        <v>0.492</v>
      </c>
      <c r="Q4" s="498">
        <f>IFERROR(__xludf.DUMMYFUNCTION("""COMPUTED_VALUE"""),0.535)</f>
        <v>0.535</v>
      </c>
      <c r="R4" s="497">
        <f>IFERROR(__xludf.DUMMYFUNCTION("""COMPUTED_VALUE"""),-0.04300000000000004)</f>
        <v>-0.043</v>
      </c>
      <c r="S4" s="537" t="str">
        <f>IFERROR(__xludf.DUMMYFUNCTION("IMPORTRANGE(""https://docs.google.com/spreadsheets/d/1rvSw8TokJxxMPNo9zCeN0TVGCwqWJYqsUgV1Y381wpc/edit?gid=1529235844#gid=1529235844"",""Profit and Loss_Sas_MO!Q387"")"),"")</f>
        <v/>
      </c>
      <c r="T4" s="537">
        <f>IFERROR(__xludf.DUMMYFUNCTION("IMPORTRANGE(""https://docs.google.com/spreadsheets/d/1rvSw8TokJxxMPNo9zCeN0TVGCwqWJYqsUgV1Y381wpc/edit?gid=1529235844#gid=1529235844"",""Profit and Loss_Sas_MO!AA387"")"),0.0)</f>
        <v>0</v>
      </c>
      <c r="U4" s="537">
        <f t="shared" si="1"/>
        <v>0</v>
      </c>
      <c r="V4" s="538" t="str">
        <f t="shared" si="2"/>
        <v>#DIV/0!</v>
      </c>
      <c r="W4" s="501"/>
      <c r="X4" s="539"/>
      <c r="Y4" s="530"/>
      <c r="Z4" s="493"/>
      <c r="AA4" s="493"/>
    </row>
    <row r="5">
      <c r="B5" s="535" t="str">
        <f>IFERROR(__xludf.DUMMYFUNCTION("""COMPUTED_VALUE"""),"MVT")</f>
        <v>MVT</v>
      </c>
      <c r="C5" s="495">
        <f>IFERROR(__xludf.DUMMYFUNCTION("""COMPUTED_VALUE"""),38771.0)</f>
        <v>38771</v>
      </c>
      <c r="D5" s="495">
        <f>IFERROR(__xludf.DUMMYFUNCTION("""COMPUTED_VALUE"""),32415.0)</f>
        <v>32415</v>
      </c>
      <c r="E5" s="496">
        <f>IFERROR(__xludf.DUMMYFUNCTION("""COMPUTED_VALUE"""),6356.0)</f>
        <v>6356</v>
      </c>
      <c r="F5" s="536">
        <f>IFERROR(__xludf.DUMMYFUNCTION("""COMPUTED_VALUE"""),0.19608206077433288)</f>
        <v>0.1960820608</v>
      </c>
      <c r="G5" s="495">
        <f>IFERROR(__xludf.DUMMYFUNCTION("""COMPUTED_VALUE"""),48992.08)</f>
        <v>48992.08</v>
      </c>
      <c r="H5" s="496">
        <f>IFERROR(__xludf.DUMMYFUNCTION("""COMPUTED_VALUE"""),-10221.080000000002)</f>
        <v>-10221.08</v>
      </c>
      <c r="I5" s="536">
        <f>IFERROR(__xludf.DUMMYFUNCTION("""COMPUTED_VALUE"""),-0.20862719035403277)</f>
        <v>-0.2086271904</v>
      </c>
      <c r="J5" s="498">
        <f>IFERROR(__xludf.DUMMYFUNCTION("""COMPUTED_VALUE"""),0.237)</f>
        <v>0.237</v>
      </c>
      <c r="K5" s="498">
        <f>IFERROR(__xludf.DUMMYFUNCTION("""COMPUTED_VALUE"""),0.237)</f>
        <v>0.237</v>
      </c>
      <c r="L5" s="499">
        <f>IFERROR(__xludf.DUMMYFUNCTION("""COMPUTED_VALUE"""),0.0)</f>
        <v>0</v>
      </c>
      <c r="M5" s="500">
        <f>IFERROR(__xludf.DUMMYFUNCTION("""COMPUTED_VALUE"""),0.267)</f>
        <v>0.267</v>
      </c>
      <c r="N5" s="498">
        <f>IFERROR(__xludf.DUMMYFUNCTION("""COMPUTED_VALUE"""),0.254)</f>
        <v>0.254</v>
      </c>
      <c r="O5" s="497">
        <f>IFERROR(__xludf.DUMMYFUNCTION("""COMPUTED_VALUE"""),0.013000000000000012)</f>
        <v>0.013</v>
      </c>
      <c r="P5" s="498">
        <f>IFERROR(__xludf.DUMMYFUNCTION("""COMPUTED_VALUE"""),0.504)</f>
        <v>0.504</v>
      </c>
      <c r="Q5" s="498">
        <f>IFERROR(__xludf.DUMMYFUNCTION("""COMPUTED_VALUE"""),0.491)</f>
        <v>0.491</v>
      </c>
      <c r="R5" s="497">
        <f>IFERROR(__xludf.DUMMYFUNCTION("""COMPUTED_VALUE"""),0.013000000000000012)</f>
        <v>0.013</v>
      </c>
      <c r="S5" s="537" t="str">
        <f>IFERROR(__xludf.DUMMYFUNCTION("IMPORTRANGE(""https://docs.google.com/spreadsheets/d/1rvSw8TokJxxMPNo9zCeN0TVGCwqWJYqsUgV1Y381wpc/edit?gid=1529235844#gid=1529235844"",""Profit and Loss_Sas_MVT!Q387"")"),"")</f>
        <v/>
      </c>
      <c r="T5" s="537">
        <f>IFERROR(__xludf.DUMMYFUNCTION("IMPORTRANGE(""https://docs.google.com/spreadsheets/d/1rvSw8TokJxxMPNo9zCeN0TVGCwqWJYqsUgV1Y381wpc/edit?gid=1529235844#gid=1529235844"",""Profit and Loss_Sas_MVT!AA387"")"),0.0)</f>
        <v>0</v>
      </c>
      <c r="U5" s="537">
        <f t="shared" si="1"/>
        <v>0</v>
      </c>
      <c r="V5" s="538" t="str">
        <f t="shared" si="2"/>
        <v>#DIV/0!</v>
      </c>
      <c r="W5" s="501"/>
      <c r="X5" s="539"/>
      <c r="Y5" s="530"/>
      <c r="Z5" s="493"/>
      <c r="AA5" s="493"/>
    </row>
    <row r="6">
      <c r="B6" s="535" t="str">
        <f>IFERROR(__xludf.DUMMYFUNCTION("""COMPUTED_VALUE"""),"National Landing")</f>
        <v>National Landing</v>
      </c>
      <c r="C6" s="495">
        <f>IFERROR(__xludf.DUMMYFUNCTION("""COMPUTED_VALUE"""),21316.0)</f>
        <v>21316</v>
      </c>
      <c r="D6" s="495">
        <f>IFERROR(__xludf.DUMMYFUNCTION("""COMPUTED_VALUE"""),20859.0)</f>
        <v>20859</v>
      </c>
      <c r="E6" s="496">
        <f>IFERROR(__xludf.DUMMYFUNCTION("""COMPUTED_VALUE"""),457.0)</f>
        <v>457</v>
      </c>
      <c r="F6" s="536">
        <f>IFERROR(__xludf.DUMMYFUNCTION("""COMPUTED_VALUE"""),0.021909008102018315)</f>
        <v>0.0219090081</v>
      </c>
      <c r="G6" s="495">
        <f>IFERROR(__xludf.DUMMYFUNCTION("""COMPUTED_VALUE"""),24492.41)</f>
        <v>24492.41</v>
      </c>
      <c r="H6" s="496">
        <f>IFERROR(__xludf.DUMMYFUNCTION("""COMPUTED_VALUE"""),-3176.41)</f>
        <v>-3176.41</v>
      </c>
      <c r="I6" s="536">
        <f>IFERROR(__xludf.DUMMYFUNCTION("""COMPUTED_VALUE"""),-0.1296895650530103)</f>
        <v>-0.1296895651</v>
      </c>
      <c r="J6" s="498">
        <f>IFERROR(__xludf.DUMMYFUNCTION("""COMPUTED_VALUE"""),0.32)</f>
        <v>0.32</v>
      </c>
      <c r="K6" s="498">
        <f>IFERROR(__xludf.DUMMYFUNCTION("""COMPUTED_VALUE"""),0.288)</f>
        <v>0.288</v>
      </c>
      <c r="L6" s="499">
        <f>IFERROR(__xludf.DUMMYFUNCTION("""COMPUTED_VALUE"""),0.03200000000000003)</f>
        <v>0.032</v>
      </c>
      <c r="M6" s="500">
        <f>IFERROR(__xludf.DUMMYFUNCTION("""COMPUTED_VALUE"""),0.291)</f>
        <v>0.291</v>
      </c>
      <c r="N6" s="498">
        <f>IFERROR(__xludf.DUMMYFUNCTION("""COMPUTED_VALUE"""),0.264)</f>
        <v>0.264</v>
      </c>
      <c r="O6" s="497">
        <f>IFERROR(__xludf.DUMMYFUNCTION("""COMPUTED_VALUE"""),0.02699999999999997)</f>
        <v>0.027</v>
      </c>
      <c r="P6" s="498">
        <f>IFERROR(__xludf.DUMMYFUNCTION("""COMPUTED_VALUE"""),0.611)</f>
        <v>0.611</v>
      </c>
      <c r="Q6" s="498">
        <f>IFERROR(__xludf.DUMMYFUNCTION("""COMPUTED_VALUE"""),0.552)</f>
        <v>0.552</v>
      </c>
      <c r="R6" s="497">
        <f>IFERROR(__xludf.DUMMYFUNCTION("""COMPUTED_VALUE"""),0.05899999999999994)</f>
        <v>0.059</v>
      </c>
      <c r="S6" s="537" t="str">
        <f>IFERROR(__xludf.DUMMYFUNCTION("IMPORTRANGE(""https://docs.google.com/spreadsheets/d/1rvSw8TokJxxMPNo9zCeN0TVGCwqWJYqsUgV1Y381wpc/edit?gid=1529235844#gid=1529235844"",""Profit and Loss_Sas_NL!Q387"")"),"")</f>
        <v/>
      </c>
      <c r="T6" s="537">
        <f>IFERROR(__xludf.DUMMYFUNCTION("IMPORTRANGE(""https://docs.google.com/spreadsheets/d/1rvSw8TokJxxMPNo9zCeN0TVGCwqWJYqsUgV1Y381wpc/edit?gid=1529235844#gid=1529235844"",""Profit and Loss_Sas_NL!AA387"")"),0.0)</f>
        <v>0</v>
      </c>
      <c r="U6" s="537">
        <f t="shared" si="1"/>
        <v>0</v>
      </c>
      <c r="V6" s="538" t="str">
        <f t="shared" si="2"/>
        <v>#DIV/0!</v>
      </c>
      <c r="W6" s="501"/>
      <c r="X6" s="539"/>
      <c r="Y6" s="530"/>
      <c r="Z6" s="493"/>
      <c r="AA6" s="493"/>
    </row>
    <row r="7">
      <c r="B7" s="535" t="str">
        <f>IFERROR(__xludf.DUMMYFUNCTION("""COMPUTED_VALUE"""),"Rockville")</f>
        <v>Rockville</v>
      </c>
      <c r="C7" s="495">
        <f>IFERROR(__xludf.DUMMYFUNCTION("""COMPUTED_VALUE"""),24750.0)</f>
        <v>24750</v>
      </c>
      <c r="D7" s="495">
        <f>IFERROR(__xludf.DUMMYFUNCTION("""COMPUTED_VALUE"""),22812.0)</f>
        <v>22812</v>
      </c>
      <c r="E7" s="496">
        <f>IFERROR(__xludf.DUMMYFUNCTION("""COMPUTED_VALUE"""),1938.0)</f>
        <v>1938</v>
      </c>
      <c r="F7" s="536">
        <f>IFERROR(__xludf.DUMMYFUNCTION("""COMPUTED_VALUE"""),0.08495528669121515)</f>
        <v>0.08495528669</v>
      </c>
      <c r="G7" s="495">
        <f>IFERROR(__xludf.DUMMYFUNCTION("""COMPUTED_VALUE"""),31567.81)</f>
        <v>31567.81</v>
      </c>
      <c r="H7" s="496">
        <f>IFERROR(__xludf.DUMMYFUNCTION("""COMPUTED_VALUE"""),-6817.810000000001)</f>
        <v>-6817.81</v>
      </c>
      <c r="I7" s="536">
        <f>IFERROR(__xludf.DUMMYFUNCTION("""COMPUTED_VALUE"""),-0.21597348691594384)</f>
        <v>-0.2159734869</v>
      </c>
      <c r="J7" s="498">
        <f>IFERROR(__xludf.DUMMYFUNCTION("""COMPUTED_VALUE"""),0.318)</f>
        <v>0.318</v>
      </c>
      <c r="K7" s="498">
        <f>IFERROR(__xludf.DUMMYFUNCTION("""COMPUTED_VALUE"""),0.273)</f>
        <v>0.273</v>
      </c>
      <c r="L7" s="499">
        <f>IFERROR(__xludf.DUMMYFUNCTION("""COMPUTED_VALUE"""),0.044999999999999984)</f>
        <v>0.045</v>
      </c>
      <c r="M7" s="500">
        <f>IFERROR(__xludf.DUMMYFUNCTION("""COMPUTED_VALUE"""),0.287)</f>
        <v>0.287</v>
      </c>
      <c r="N7" s="498">
        <f>IFERROR(__xludf.DUMMYFUNCTION("""COMPUTED_VALUE"""),0.267)</f>
        <v>0.267</v>
      </c>
      <c r="O7" s="497">
        <f>IFERROR(__xludf.DUMMYFUNCTION("""COMPUTED_VALUE"""),0.019999999999999962)</f>
        <v>0.02</v>
      </c>
      <c r="P7" s="498">
        <f>IFERROR(__xludf.DUMMYFUNCTION("""COMPUTED_VALUE"""),0.605)</f>
        <v>0.605</v>
      </c>
      <c r="Q7" s="498">
        <f>IFERROR(__xludf.DUMMYFUNCTION("""COMPUTED_VALUE"""),0.54)</f>
        <v>0.54</v>
      </c>
      <c r="R7" s="497">
        <f>IFERROR(__xludf.DUMMYFUNCTION("""COMPUTED_VALUE"""),0.06499999999999995)</f>
        <v>0.065</v>
      </c>
      <c r="S7" s="537" t="str">
        <f>IFERROR(__xludf.DUMMYFUNCTION("IMPORTRANGE(""https://docs.google.com/spreadsheets/d/1rvSw8TokJxxMPNo9zCeN0TVGCwqWJYqsUgV1Y381wpc/edit?gid=1529235844#gid=1529235844"",""Profit and Loss_Sas_RV!Q387"")"),"")</f>
        <v/>
      </c>
      <c r="T7" s="537">
        <f>IFERROR(__xludf.DUMMYFUNCTION("IMPORTRANGE(""https://docs.google.com/spreadsheets/d/1rvSw8TokJxxMPNo9zCeN0TVGCwqWJYqsUgV1Y381wpc/edit?gid=1529235844#gid=1529235844"",""Profit and Loss_Sas_RV!AA387"")"),0.0)</f>
        <v>0</v>
      </c>
      <c r="U7" s="537">
        <f t="shared" si="1"/>
        <v>0</v>
      </c>
      <c r="V7" s="538" t="str">
        <f t="shared" si="2"/>
        <v>#DIV/0!</v>
      </c>
      <c r="W7" s="501"/>
      <c r="X7" s="539"/>
      <c r="Y7" s="530"/>
      <c r="Z7" s="493"/>
      <c r="AA7" s="493"/>
    </row>
    <row r="8">
      <c r="B8" s="503" t="str">
        <f>IFERROR(__xludf.DUMMYFUNCTION("""COMPUTED_VALUE"""),"Totals")</f>
        <v>Totals</v>
      </c>
      <c r="C8" s="504">
        <f>IFERROR(__xludf.DUMMYFUNCTION("""COMPUTED_VALUE"""),133754.0)</f>
        <v>133754</v>
      </c>
      <c r="D8" s="504">
        <f>IFERROR(__xludf.DUMMYFUNCTION("""COMPUTED_VALUE"""),120786.0)</f>
        <v>120786</v>
      </c>
      <c r="E8" s="505">
        <f>IFERROR(__xludf.DUMMYFUNCTION("""COMPUTED_VALUE"""),12968.0)</f>
        <v>12968</v>
      </c>
      <c r="F8" s="491">
        <f>IFERROR(__xludf.DUMMYFUNCTION("""COMPUTED_VALUE"""),0.10736343615981984)</f>
        <v>0.1073634362</v>
      </c>
      <c r="G8" s="504">
        <f>IFERROR(__xludf.DUMMYFUNCTION("""COMPUTED_VALUE"""),156639.53)</f>
        <v>156639.53</v>
      </c>
      <c r="H8" s="506">
        <f>IFERROR(__xludf.DUMMYFUNCTION("""COMPUTED_VALUE"""),-22885.530000000002)</f>
        <v>-22885.53</v>
      </c>
      <c r="I8" s="491">
        <f>IFERROR(__xludf.DUMMYFUNCTION("""COMPUTED_VALUE"""),-0.1461031579959414)</f>
        <v>-0.146103158</v>
      </c>
      <c r="J8" s="507">
        <f>IFERROR(__xludf.DUMMYFUNCTION("""COMPUTED_VALUE"""),0.267)</f>
        <v>0.267</v>
      </c>
      <c r="K8" s="508">
        <f>IFERROR(__xludf.DUMMYFUNCTION("""COMPUTED_VALUE"""),0.267)</f>
        <v>0.267</v>
      </c>
      <c r="L8" s="509">
        <f>IFERROR(__xludf.DUMMYFUNCTION("""COMPUTED_VALUE"""),0.0)</f>
        <v>0</v>
      </c>
      <c r="M8" s="507">
        <f>IFERROR(__xludf.DUMMYFUNCTION("""COMPUTED_VALUE"""),0.284)</f>
        <v>0.284</v>
      </c>
      <c r="N8" s="508">
        <f>IFERROR(__xludf.DUMMYFUNCTION("""COMPUTED_VALUE"""),0.262)</f>
        <v>0.262</v>
      </c>
      <c r="O8" s="491">
        <f>IFERROR(__xludf.DUMMYFUNCTION("""COMPUTED_VALUE"""),0.021999999999999964)</f>
        <v>0.022</v>
      </c>
      <c r="P8" s="508">
        <f>IFERROR(__xludf.DUMMYFUNCTION("""COMPUTED_VALUE"""),0.5509999999999999)</f>
        <v>0.551</v>
      </c>
      <c r="Q8" s="508">
        <f>IFERROR(__xludf.DUMMYFUNCTION("""COMPUTED_VALUE"""),0.529)</f>
        <v>0.529</v>
      </c>
      <c r="R8" s="491">
        <f>IFERROR(__xludf.DUMMYFUNCTION("""COMPUTED_VALUE"""),0.02199999999999991)</f>
        <v>0.022</v>
      </c>
      <c r="S8" s="506" t="str">
        <f>IFERROR(__xludf.DUMMYFUNCTION("IMPORTRANGE(""https://docs.google.com/spreadsheets/d/1rvSw8TokJxxMPNo9zCeN0TVGCwqWJYqsUgV1Y381wpc/edit?gid=1529235844#gid=1529235844"",""Profit and Loss_Sas_Overall!Q387"")"),"")</f>
        <v/>
      </c>
      <c r="T8" s="506">
        <f>IFERROR(__xludf.DUMMYFUNCTION("IMPORTRANGE(""https://docs.google.com/spreadsheets/d/1rvSw8TokJxxMPNo9zCeN0TVGCwqWJYqsUgV1Y381wpc/edit?gid=1529235844#gid=1529235844"",""Profit and Loss_Sas_Overall!AA387"")"),0.0)</f>
        <v>0</v>
      </c>
      <c r="U8" s="506">
        <f t="shared" si="1"/>
        <v>0</v>
      </c>
      <c r="V8" s="491" t="str">
        <f t="shared" si="2"/>
        <v>#DIV/0!</v>
      </c>
      <c r="W8" s="501"/>
      <c r="X8" s="539"/>
      <c r="Y8" s="530"/>
      <c r="Z8" s="493"/>
      <c r="AA8" s="493"/>
    </row>
    <row r="9">
      <c r="B9" s="493"/>
      <c r="C9" s="493"/>
      <c r="D9" s="493"/>
      <c r="E9" s="493"/>
      <c r="F9" s="493"/>
      <c r="G9" s="493"/>
      <c r="U9" s="493"/>
      <c r="V9" s="493"/>
      <c r="W9" s="493"/>
      <c r="X9" s="493"/>
      <c r="Y9" s="493"/>
      <c r="Z9" s="493"/>
    </row>
    <row r="10">
      <c r="U10" s="493"/>
      <c r="V10" s="493"/>
      <c r="W10" s="493"/>
      <c r="X10" s="493"/>
      <c r="Y10" s="493"/>
      <c r="Z10" s="493"/>
    </row>
    <row r="11">
      <c r="B11" s="511" t="s">
        <v>165</v>
      </c>
      <c r="C11" s="489" t="s">
        <v>126</v>
      </c>
      <c r="D11" s="490" t="s">
        <v>166</v>
      </c>
      <c r="E11" s="490" t="s">
        <v>167</v>
      </c>
      <c r="F11" s="490" t="s">
        <v>168</v>
      </c>
      <c r="G11" s="490" t="s">
        <v>169</v>
      </c>
      <c r="H11" s="490" t="s">
        <v>170</v>
      </c>
      <c r="I11" s="490" t="s">
        <v>171</v>
      </c>
    </row>
    <row r="12">
      <c r="B12" s="280" t="s">
        <v>172</v>
      </c>
      <c r="C12" s="540" t="s">
        <v>131</v>
      </c>
      <c r="D12" s="541">
        <v>2.0</v>
      </c>
      <c r="E12" s="542">
        <v>5.0</v>
      </c>
      <c r="F12" s="543" t="s">
        <v>173</v>
      </c>
      <c r="G12" s="541">
        <v>0.0</v>
      </c>
      <c r="H12" s="543">
        <v>5.0</v>
      </c>
      <c r="I12" s="541">
        <v>2.0</v>
      </c>
    </row>
    <row r="13">
      <c r="B13" s="280" t="s">
        <v>174</v>
      </c>
      <c r="C13" s="540" t="s">
        <v>133</v>
      </c>
      <c r="D13" s="541">
        <v>4.0</v>
      </c>
      <c r="E13" s="542">
        <v>3.0</v>
      </c>
      <c r="F13" s="543">
        <v>1.0</v>
      </c>
      <c r="G13" s="541">
        <v>1.0</v>
      </c>
      <c r="H13" s="544">
        <v>3.67</v>
      </c>
      <c r="I13" s="541">
        <v>3.0</v>
      </c>
    </row>
    <row r="14">
      <c r="C14" s="540" t="s">
        <v>175</v>
      </c>
      <c r="D14" s="541">
        <v>6.0</v>
      </c>
      <c r="E14" s="545">
        <v>4.33</v>
      </c>
      <c r="F14" s="543" t="s">
        <v>173</v>
      </c>
      <c r="G14" s="541">
        <v>0.0</v>
      </c>
      <c r="H14" s="544">
        <v>4.33</v>
      </c>
      <c r="I14" s="541">
        <v>6.0</v>
      </c>
    </row>
    <row r="15">
      <c r="C15" s="540" t="s">
        <v>132</v>
      </c>
      <c r="D15" s="541">
        <v>9.0</v>
      </c>
      <c r="E15" s="545">
        <v>4.67</v>
      </c>
      <c r="F15" s="543">
        <v>4.0</v>
      </c>
      <c r="G15" s="541">
        <v>1.0</v>
      </c>
      <c r="H15" s="544">
        <v>4.75</v>
      </c>
      <c r="I15" s="541">
        <v>8.0</v>
      </c>
    </row>
    <row r="16">
      <c r="C16" s="540" t="s">
        <v>135</v>
      </c>
      <c r="D16" s="541">
        <v>15.0</v>
      </c>
      <c r="E16" s="545">
        <v>4.47</v>
      </c>
      <c r="F16" s="543" t="s">
        <v>173</v>
      </c>
      <c r="G16" s="541">
        <v>0.0</v>
      </c>
      <c r="H16" s="544">
        <v>4.47</v>
      </c>
      <c r="I16" s="541">
        <v>15.0</v>
      </c>
    </row>
    <row r="17">
      <c r="C17" s="489" t="s">
        <v>176</v>
      </c>
      <c r="D17" s="546">
        <f>SUM(D12:D16)</f>
        <v>36</v>
      </c>
      <c r="E17" s="547">
        <f t="shared" ref="E17:F17" si="3">AVERAGE(E12:E16)</f>
        <v>4.294</v>
      </c>
      <c r="F17" s="547">
        <f t="shared" si="3"/>
        <v>2.5</v>
      </c>
      <c r="G17" s="489"/>
      <c r="H17" s="547">
        <f>AVERAGE(H12:H16)</f>
        <v>4.444</v>
      </c>
      <c r="I17" s="489"/>
    </row>
    <row r="19">
      <c r="B19" s="511" t="s">
        <v>177</v>
      </c>
      <c r="C19" s="489" t="s">
        <v>126</v>
      </c>
      <c r="D19" s="490" t="s">
        <v>166</v>
      </c>
      <c r="E19" s="490" t="s">
        <v>167</v>
      </c>
      <c r="F19" s="490" t="s">
        <v>178</v>
      </c>
      <c r="G19" s="490" t="s">
        <v>179</v>
      </c>
      <c r="H19" s="490" t="s">
        <v>180</v>
      </c>
      <c r="I19" s="489" t="s">
        <v>181</v>
      </c>
    </row>
    <row r="20">
      <c r="B20" s="280" t="s">
        <v>172</v>
      </c>
      <c r="C20" s="540" t="s">
        <v>131</v>
      </c>
      <c r="D20" s="541">
        <v>19.0</v>
      </c>
      <c r="E20" s="548">
        <v>4.0</v>
      </c>
      <c r="F20" s="544">
        <v>4.73</v>
      </c>
      <c r="G20" s="544">
        <v>4.0</v>
      </c>
      <c r="H20" s="541" t="s">
        <v>173</v>
      </c>
      <c r="I20" s="549">
        <v>0.0405</v>
      </c>
    </row>
    <row r="21">
      <c r="B21" s="280" t="s">
        <v>182</v>
      </c>
      <c r="C21" s="540" t="s">
        <v>133</v>
      </c>
      <c r="D21" s="541">
        <v>107.0</v>
      </c>
      <c r="E21" s="548">
        <v>4.5</v>
      </c>
      <c r="F21" s="544">
        <v>4.59</v>
      </c>
      <c r="G21" s="544">
        <v>4.25</v>
      </c>
      <c r="H21" s="541" t="s">
        <v>173</v>
      </c>
      <c r="I21" s="549">
        <v>0.0264</v>
      </c>
    </row>
    <row r="22">
      <c r="C22" s="540" t="s">
        <v>175</v>
      </c>
      <c r="D22" s="541">
        <v>66.0</v>
      </c>
      <c r="E22" s="548">
        <v>4.3</v>
      </c>
      <c r="F22" s="544">
        <v>4.69</v>
      </c>
      <c r="G22" s="544">
        <v>3.97</v>
      </c>
      <c r="H22" s="541" t="s">
        <v>173</v>
      </c>
      <c r="I22" s="549">
        <v>0.0315</v>
      </c>
    </row>
    <row r="23">
      <c r="C23" s="540" t="s">
        <v>132</v>
      </c>
      <c r="D23" s="541">
        <v>40.0</v>
      </c>
      <c r="E23" s="548">
        <v>4.4</v>
      </c>
      <c r="F23" s="544">
        <v>4.57</v>
      </c>
      <c r="G23" s="544">
        <v>4.31</v>
      </c>
      <c r="H23" s="541" t="s">
        <v>173</v>
      </c>
      <c r="I23" s="549">
        <v>0.0315</v>
      </c>
    </row>
    <row r="24">
      <c r="C24" s="540" t="s">
        <v>135</v>
      </c>
      <c r="D24" s="541">
        <v>49.0</v>
      </c>
      <c r="E24" s="548">
        <v>4.3</v>
      </c>
      <c r="F24" s="544">
        <v>4.61</v>
      </c>
      <c r="G24" s="544">
        <v>4.19</v>
      </c>
      <c r="H24" s="541" t="s">
        <v>173</v>
      </c>
      <c r="I24" s="549">
        <v>0.045</v>
      </c>
    </row>
    <row r="25">
      <c r="C25" s="489" t="s">
        <v>176</v>
      </c>
      <c r="D25" s="546">
        <f>SUM(D20:D24)</f>
        <v>281</v>
      </c>
      <c r="E25" s="547">
        <f>AVERAGE(E20:E24)</f>
        <v>4.3</v>
      </c>
      <c r="F25" s="550"/>
      <c r="G25" s="550"/>
      <c r="H25" s="489"/>
      <c r="I25" s="551">
        <v>0.03498</v>
      </c>
    </row>
    <row r="27">
      <c r="B27" s="523" t="s">
        <v>156</v>
      </c>
    </row>
    <row r="28">
      <c r="C28" s="552" t="s">
        <v>157</v>
      </c>
      <c r="D28" s="32"/>
      <c r="E28" s="552" t="s">
        <v>158</v>
      </c>
      <c r="F28" s="32"/>
      <c r="G28" s="553"/>
      <c r="H28" s="553"/>
      <c r="I28" s="553" t="s">
        <v>183</v>
      </c>
      <c r="J28" s="553" t="s">
        <v>184</v>
      </c>
    </row>
    <row r="29">
      <c r="B29" s="489" t="s">
        <v>126</v>
      </c>
      <c r="C29" s="490" t="s">
        <v>185</v>
      </c>
      <c r="D29" s="490" t="s">
        <v>186</v>
      </c>
      <c r="E29" s="490" t="s">
        <v>185</v>
      </c>
      <c r="F29" s="526" t="s">
        <v>186</v>
      </c>
      <c r="G29" s="526" t="s">
        <v>159</v>
      </c>
      <c r="H29" s="526" t="s">
        <v>160</v>
      </c>
      <c r="I29" s="493"/>
      <c r="J29" s="493"/>
    </row>
    <row r="30">
      <c r="B30" s="489" t="s">
        <v>135</v>
      </c>
      <c r="C30" s="541" t="s">
        <v>187</v>
      </c>
      <c r="D30" s="541">
        <v>214.0</v>
      </c>
      <c r="E30" s="554" t="s">
        <v>188</v>
      </c>
      <c r="F30" s="555">
        <v>374.0</v>
      </c>
      <c r="G30" s="521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21">
        <f t="shared" ref="H30:H35" si="5">VALUE(LEFT(G30,FIND("min",G30)-1)) + VALUE(MID(G30,FIND("min",G30)+4,FIND("sec",G30)-FIND("min",G30)-4))/100</f>
        <v>2.03</v>
      </c>
      <c r="I30" s="493"/>
      <c r="J30" s="493"/>
    </row>
    <row r="31">
      <c r="B31" s="489" t="s">
        <v>131</v>
      </c>
      <c r="C31" s="541" t="s">
        <v>189</v>
      </c>
      <c r="D31" s="541">
        <v>361.0</v>
      </c>
      <c r="E31" s="554" t="s">
        <v>190</v>
      </c>
      <c r="F31" s="555">
        <v>263.0</v>
      </c>
      <c r="G31" s="521" t="str">
        <f t="shared" si="4"/>
        <v>0 min 57 sec</v>
      </c>
      <c r="H31" s="521">
        <f t="shared" si="5"/>
        <v>0.57</v>
      </c>
      <c r="I31" s="493"/>
      <c r="J31" s="493"/>
    </row>
    <row r="32">
      <c r="B32" s="489" t="s">
        <v>133</v>
      </c>
      <c r="C32" s="541" t="s">
        <v>191</v>
      </c>
      <c r="D32" s="541">
        <v>784.0</v>
      </c>
      <c r="E32" s="541" t="s">
        <v>192</v>
      </c>
      <c r="F32" s="555">
        <v>761.0</v>
      </c>
      <c r="G32" s="521" t="str">
        <f t="shared" si="4"/>
        <v>0 min 59 sec</v>
      </c>
      <c r="H32" s="521">
        <f t="shared" si="5"/>
        <v>0.59</v>
      </c>
      <c r="I32" s="493"/>
      <c r="J32" s="493"/>
    </row>
    <row r="33">
      <c r="B33" s="489" t="s">
        <v>134</v>
      </c>
      <c r="C33" s="541" t="s">
        <v>193</v>
      </c>
      <c r="D33" s="541">
        <v>439.0</v>
      </c>
      <c r="E33" s="541" t="s">
        <v>194</v>
      </c>
      <c r="F33" s="555">
        <v>483.0</v>
      </c>
      <c r="G33" s="521" t="str">
        <f t="shared" si="4"/>
        <v>1 min 14 sec</v>
      </c>
      <c r="H33" s="521">
        <f t="shared" si="5"/>
        <v>1.14</v>
      </c>
      <c r="I33" s="493"/>
      <c r="J33" s="493"/>
    </row>
    <row r="34">
      <c r="B34" s="489" t="s">
        <v>132</v>
      </c>
      <c r="C34" s="541" t="s">
        <v>195</v>
      </c>
      <c r="D34" s="541">
        <v>156.0</v>
      </c>
      <c r="E34" s="541" t="s">
        <v>196</v>
      </c>
      <c r="F34" s="556">
        <v>382.0</v>
      </c>
      <c r="G34" s="521" t="str">
        <f t="shared" si="4"/>
        <v>1 min 48 sec</v>
      </c>
      <c r="H34" s="521">
        <f t="shared" si="5"/>
        <v>1.48</v>
      </c>
      <c r="I34" s="557"/>
      <c r="J34" s="557"/>
    </row>
    <row r="35">
      <c r="B35" s="489" t="s">
        <v>136</v>
      </c>
      <c r="C35" s="526" t="s">
        <v>197</v>
      </c>
      <c r="D35" s="517">
        <f>sum(D30:D34)</f>
        <v>1954</v>
      </c>
      <c r="E35" s="526" t="s">
        <v>198</v>
      </c>
      <c r="F35" s="517">
        <f>SUM(F30:F34)</f>
        <v>2263</v>
      </c>
      <c r="G35" s="490" t="str">
        <f t="shared" si="4"/>
        <v>1 min 19 sec</v>
      </c>
      <c r="H35" s="490">
        <f t="shared" si="5"/>
        <v>1.19</v>
      </c>
      <c r="I35" s="493"/>
      <c r="J35" s="493"/>
    </row>
    <row r="36">
      <c r="F36" s="553" t="s">
        <v>199</v>
      </c>
      <c r="G36" s="553" t="s">
        <v>200</v>
      </c>
      <c r="H36" s="553"/>
      <c r="I36" s="553" t="s">
        <v>183</v>
      </c>
      <c r="J36" s="553" t="s">
        <v>184</v>
      </c>
    </row>
    <row r="37">
      <c r="F37" s="493"/>
      <c r="G37" s="493"/>
      <c r="H37" s="493"/>
      <c r="I37" s="493"/>
      <c r="J37" s="493"/>
    </row>
    <row r="38">
      <c r="F38" s="493"/>
      <c r="G38" s="493"/>
      <c r="H38" s="493"/>
      <c r="I38" s="493"/>
      <c r="J38" s="493"/>
    </row>
    <row r="39">
      <c r="F39" s="493"/>
      <c r="G39" s="493"/>
      <c r="H39" s="493"/>
      <c r="I39" s="493"/>
      <c r="J39" s="493"/>
    </row>
    <row r="40">
      <c r="F40" s="493"/>
      <c r="G40" s="493"/>
      <c r="H40" s="493"/>
      <c r="I40" s="493"/>
      <c r="J40" s="493"/>
    </row>
    <row r="41">
      <c r="F41" s="493"/>
      <c r="G41" s="493"/>
      <c r="H41" s="493"/>
      <c r="I41" s="493"/>
      <c r="J41" s="493"/>
    </row>
    <row r="42">
      <c r="F42" s="557"/>
      <c r="G42" s="557"/>
      <c r="H42" s="557"/>
      <c r="I42" s="557"/>
      <c r="J42" s="557"/>
    </row>
    <row r="43">
      <c r="F43" s="493"/>
      <c r="G43" s="493"/>
      <c r="H43" s="493"/>
      <c r="I43" s="493"/>
      <c r="J43" s="493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93"/>
      <c r="C1" s="493"/>
      <c r="D1" s="493"/>
      <c r="E1" s="493"/>
      <c r="F1" s="493"/>
      <c r="G1" s="493"/>
      <c r="U1" s="493"/>
      <c r="V1" s="493"/>
      <c r="W1" s="493"/>
      <c r="X1" s="493"/>
      <c r="Y1" s="493"/>
    </row>
    <row r="2">
      <c r="B2" s="489" t="s">
        <v>201</v>
      </c>
      <c r="C2" s="490" t="s">
        <v>9</v>
      </c>
      <c r="D2" s="526" t="s">
        <v>202</v>
      </c>
      <c r="E2" s="490" t="s">
        <v>203</v>
      </c>
      <c r="F2" s="491" t="s">
        <v>204</v>
      </c>
      <c r="G2" s="490" t="s">
        <v>205</v>
      </c>
      <c r="H2" s="490" t="s">
        <v>206</v>
      </c>
      <c r="I2" s="490" t="s">
        <v>207</v>
      </c>
      <c r="J2" s="490" t="s">
        <v>208</v>
      </c>
      <c r="K2" s="490" t="s">
        <v>209</v>
      </c>
      <c r="L2" s="490" t="s">
        <v>210</v>
      </c>
      <c r="M2" s="490" t="s">
        <v>211</v>
      </c>
      <c r="N2" s="508" t="s">
        <v>212</v>
      </c>
      <c r="O2" s="490" t="s">
        <v>213</v>
      </c>
      <c r="P2" s="490" t="s">
        <v>214</v>
      </c>
      <c r="Q2" s="490" t="s">
        <v>215</v>
      </c>
      <c r="R2" s="490" t="s">
        <v>216</v>
      </c>
      <c r="S2" s="526" t="s">
        <v>161</v>
      </c>
      <c r="T2" s="526" t="s">
        <v>162</v>
      </c>
      <c r="U2" s="526" t="s">
        <v>163</v>
      </c>
      <c r="V2" s="526" t="s">
        <v>164</v>
      </c>
      <c r="W2" s="533"/>
      <c r="X2" s="493"/>
      <c r="Y2" s="534"/>
      <c r="AA2" s="493"/>
    </row>
    <row r="3">
      <c r="B3" s="535" t="s">
        <v>131</v>
      </c>
      <c r="C3" s="495" t="str">
        <f>IFERROR(__xludf.DUMMYFUNCTION("IMPORTRANGE(""https://docs.google.com/spreadsheets/d/1TW_RsaigtJP9yoaGaPBfE07-92H6VNOYrHbLByvNJmg/edit?gid=1646739031#gid=1646739031"",""Revenue Q4!D8:D13"")"),"#REF!")</f>
        <v>#REF!</v>
      </c>
      <c r="D3" s="495" t="str">
        <f>IFERROR(__xludf.DUMMYFUNCTION("IMPORTRANGE(""https://docs.google.com/spreadsheets/d/1TW_RsaigtJP9yoaGaPBfE07-92H6VNOYrHbLByvNJmg/edit?gid=1646739031#gid=1646739031"",""Revenue Q4!I8:I13"")"),"#REF!")</f>
        <v>#REF!</v>
      </c>
      <c r="E3" s="496" t="str">
        <f t="shared" ref="E3:E8" si="1">C3-D3</f>
        <v>#REF!</v>
      </c>
      <c r="F3" s="536" t="str">
        <f t="shared" ref="F3:F8" si="2">E3/D3</f>
        <v>#REF!</v>
      </c>
      <c r="G3" s="495" t="str">
        <f>IFERROR(__xludf.DUMMYFUNCTION("IMPORTRANGE(""https://docs.google.com/spreadsheets/d/1TW_RsaigtJP9yoaGaPBfE07-92H6VNOYrHbLByvNJmg/edit?gid=1646739031#gid=1646739031"",""Revenue Q4!F8:F13"")"),"#REF!")</f>
        <v>#REF!</v>
      </c>
      <c r="H3" s="496" t="str">
        <f t="shared" ref="H3:H8" si="3">C3-G3</f>
        <v>#REF!</v>
      </c>
      <c r="I3" s="536" t="str">
        <f t="shared" ref="I3:I8" si="4">H3/G3</f>
        <v>#REF!</v>
      </c>
      <c r="J3" s="498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98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58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98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98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98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98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98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98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96" t="str">
        <f>IFERROR(__xludf.DUMMYFUNCTION("IMPORTRANGE(""https://docs.google.com/spreadsheets/d/1TW_RsaigtJP9yoaGaPBfE07-92H6VNOYrHbLByvNJmg/edit?gid=1646739031#gid=1646739031"",""Q4 EBIDTA!B7:B12"")"),"#REF!")</f>
        <v>#REF!</v>
      </c>
      <c r="T3" s="496" t="str">
        <f>IFERROR(__xludf.DUMMYFUNCTION("IMPORTRANGE(""https://docs.google.com/spreadsheets/d/1TW_RsaigtJP9yoaGaPBfE07-92H6VNOYrHbLByvNJmg/edit?gid=1646739031#gid=1646739031"",""Q4 EBIDTA!C7:C12"")"),"#REF!")</f>
        <v>#REF!</v>
      </c>
      <c r="U3" s="496" t="str">
        <f>IFERROR(__xludf.DUMMYFUNCTION("IMPORTRANGE(""https://docs.google.com/spreadsheets/d/1TW_RsaigtJP9yoaGaPBfE07-92H6VNOYrHbLByvNJmg/edit?gid=1646739031#gid=1646739031"",""Q4 EBIDTA!D7:D12"")"),"#REF!")</f>
        <v>#REF!</v>
      </c>
      <c r="V3" s="558" t="str">
        <f>IFERROR(__xludf.DUMMYFUNCTION("IMPORTRANGE(""https://docs.google.com/spreadsheets/d/1TW_RsaigtJP9yoaGaPBfE07-92H6VNOYrHbLByvNJmg/edit?gid=1646739031#gid=1646739031"",""Q4 EBIDTA!E7:E12"")"),"#REF!")</f>
        <v>#REF!</v>
      </c>
      <c r="W3" s="510"/>
      <c r="X3" s="492"/>
      <c r="Y3" s="527"/>
      <c r="AA3" s="533"/>
    </row>
    <row r="4">
      <c r="B4" s="535" t="s">
        <v>132</v>
      </c>
      <c r="C4" s="495"/>
      <c r="D4" s="495"/>
      <c r="E4" s="496">
        <f t="shared" si="1"/>
        <v>0</v>
      </c>
      <c r="F4" s="536" t="str">
        <f t="shared" si="2"/>
        <v>#DIV/0!</v>
      </c>
      <c r="G4" s="495"/>
      <c r="H4" s="496">
        <f t="shared" si="3"/>
        <v>0</v>
      </c>
      <c r="I4" s="536" t="str">
        <f t="shared" si="4"/>
        <v>#DIV/0!</v>
      </c>
      <c r="J4" s="498"/>
      <c r="K4" s="498"/>
      <c r="L4" s="558"/>
      <c r="M4" s="498"/>
      <c r="N4" s="498"/>
      <c r="O4" s="498"/>
      <c r="P4" s="498"/>
      <c r="Q4" s="498"/>
      <c r="R4" s="498"/>
      <c r="S4" s="496"/>
      <c r="T4" s="496"/>
      <c r="U4" s="496"/>
      <c r="V4" s="558"/>
      <c r="W4" s="501"/>
      <c r="X4" s="539"/>
      <c r="Y4" s="530"/>
      <c r="AA4" s="493"/>
    </row>
    <row r="5">
      <c r="B5" s="535" t="s">
        <v>133</v>
      </c>
      <c r="C5" s="495"/>
      <c r="D5" s="495"/>
      <c r="E5" s="496">
        <f t="shared" si="1"/>
        <v>0</v>
      </c>
      <c r="F5" s="536" t="str">
        <f t="shared" si="2"/>
        <v>#DIV/0!</v>
      </c>
      <c r="G5" s="495"/>
      <c r="H5" s="496">
        <f t="shared" si="3"/>
        <v>0</v>
      </c>
      <c r="I5" s="536" t="str">
        <f t="shared" si="4"/>
        <v>#DIV/0!</v>
      </c>
      <c r="J5" s="498"/>
      <c r="K5" s="498"/>
      <c r="L5" s="558"/>
      <c r="M5" s="498"/>
      <c r="N5" s="498"/>
      <c r="O5" s="498"/>
      <c r="P5" s="498"/>
      <c r="Q5" s="498"/>
      <c r="R5" s="498"/>
      <c r="S5" s="496"/>
      <c r="T5" s="496"/>
      <c r="U5" s="496"/>
      <c r="V5" s="558"/>
      <c r="W5" s="501"/>
      <c r="X5" s="539"/>
      <c r="Y5" s="530"/>
      <c r="AA5" s="493"/>
    </row>
    <row r="6">
      <c r="B6" s="535" t="s">
        <v>134</v>
      </c>
      <c r="C6" s="495"/>
      <c r="D6" s="495"/>
      <c r="E6" s="496">
        <f t="shared" si="1"/>
        <v>0</v>
      </c>
      <c r="F6" s="536" t="str">
        <f t="shared" si="2"/>
        <v>#DIV/0!</v>
      </c>
      <c r="G6" s="495"/>
      <c r="H6" s="496">
        <f t="shared" si="3"/>
        <v>0</v>
      </c>
      <c r="I6" s="536" t="str">
        <f t="shared" si="4"/>
        <v>#DIV/0!</v>
      </c>
      <c r="J6" s="498"/>
      <c r="K6" s="498"/>
      <c r="L6" s="558"/>
      <c r="M6" s="498"/>
      <c r="N6" s="498"/>
      <c r="O6" s="498"/>
      <c r="P6" s="498"/>
      <c r="Q6" s="498"/>
      <c r="R6" s="498"/>
      <c r="S6" s="496"/>
      <c r="T6" s="496"/>
      <c r="U6" s="496"/>
      <c r="V6" s="558"/>
      <c r="W6" s="501"/>
      <c r="X6" s="539"/>
      <c r="Y6" s="530"/>
      <c r="AA6" s="493"/>
    </row>
    <row r="7">
      <c r="B7" s="535" t="s">
        <v>135</v>
      </c>
      <c r="C7" s="495"/>
      <c r="D7" s="495"/>
      <c r="E7" s="496">
        <f t="shared" si="1"/>
        <v>0</v>
      </c>
      <c r="F7" s="536" t="str">
        <f t="shared" si="2"/>
        <v>#DIV/0!</v>
      </c>
      <c r="G7" s="495"/>
      <c r="H7" s="496">
        <f t="shared" si="3"/>
        <v>0</v>
      </c>
      <c r="I7" s="536" t="str">
        <f t="shared" si="4"/>
        <v>#DIV/0!</v>
      </c>
      <c r="J7" s="498"/>
      <c r="K7" s="498"/>
      <c r="L7" s="558"/>
      <c r="M7" s="498"/>
      <c r="N7" s="498"/>
      <c r="O7" s="498"/>
      <c r="P7" s="498"/>
      <c r="Q7" s="498"/>
      <c r="R7" s="498"/>
      <c r="S7" s="496"/>
      <c r="T7" s="496"/>
      <c r="U7" s="496"/>
      <c r="V7" s="558"/>
      <c r="W7" s="501"/>
      <c r="X7" s="539"/>
      <c r="Y7" s="530"/>
      <c r="AA7" s="493"/>
    </row>
    <row r="8">
      <c r="B8" s="503" t="s">
        <v>217</v>
      </c>
      <c r="C8" s="504"/>
      <c r="D8" s="504"/>
      <c r="E8" s="506">
        <f t="shared" si="1"/>
        <v>0</v>
      </c>
      <c r="F8" s="491" t="str">
        <f t="shared" si="2"/>
        <v>#DIV/0!</v>
      </c>
      <c r="G8" s="504"/>
      <c r="H8" s="506">
        <f t="shared" si="3"/>
        <v>0</v>
      </c>
      <c r="I8" s="491" t="str">
        <f t="shared" si="4"/>
        <v>#DIV/0!</v>
      </c>
      <c r="J8" s="507"/>
      <c r="K8" s="507"/>
      <c r="L8" s="509"/>
      <c r="M8" s="507"/>
      <c r="N8" s="507"/>
      <c r="O8" s="507"/>
      <c r="P8" s="507"/>
      <c r="Q8" s="507"/>
      <c r="R8" s="507"/>
      <c r="S8" s="506"/>
      <c r="T8" s="506"/>
      <c r="U8" s="506"/>
      <c r="V8" s="509"/>
      <c r="W8" s="501"/>
      <c r="X8" s="539"/>
      <c r="Y8" s="530"/>
      <c r="AA8" s="493"/>
    </row>
    <row r="9">
      <c r="B9" s="493"/>
      <c r="C9" s="493"/>
      <c r="D9" s="493"/>
      <c r="E9" s="493"/>
      <c r="F9" s="493"/>
      <c r="G9" s="493"/>
      <c r="U9" s="493"/>
      <c r="V9" s="493"/>
      <c r="W9" s="493"/>
      <c r="X9" s="493"/>
      <c r="Y9" s="493"/>
    </row>
    <row r="10">
      <c r="U10" s="493"/>
      <c r="V10" s="493"/>
      <c r="W10" s="493"/>
      <c r="X10" s="493"/>
      <c r="Y10" s="493"/>
    </row>
    <row r="11">
      <c r="B11" s="511" t="s">
        <v>165</v>
      </c>
      <c r="C11" s="489" t="s">
        <v>126</v>
      </c>
      <c r="D11" s="490" t="s">
        <v>166</v>
      </c>
      <c r="E11" s="490" t="s">
        <v>167</v>
      </c>
      <c r="F11" s="490" t="s">
        <v>168</v>
      </c>
      <c r="G11" s="490" t="s">
        <v>169</v>
      </c>
      <c r="H11" s="490" t="s">
        <v>170</v>
      </c>
      <c r="I11" s="490" t="s">
        <v>171</v>
      </c>
      <c r="U11" s="493"/>
      <c r="V11" s="493"/>
      <c r="W11" s="493"/>
      <c r="X11" s="493"/>
      <c r="Y11" s="493"/>
    </row>
    <row r="12">
      <c r="B12" s="280" t="s">
        <v>172</v>
      </c>
      <c r="C12" s="540" t="s">
        <v>131</v>
      </c>
      <c r="D12" s="541">
        <v>2.0</v>
      </c>
      <c r="E12" s="542">
        <v>5.0</v>
      </c>
      <c r="F12" s="543" t="s">
        <v>173</v>
      </c>
      <c r="G12" s="541">
        <v>0.0</v>
      </c>
      <c r="H12" s="543">
        <v>5.0</v>
      </c>
      <c r="I12" s="541">
        <v>2.0</v>
      </c>
    </row>
    <row r="13">
      <c r="B13" s="280" t="s">
        <v>174</v>
      </c>
      <c r="C13" s="540" t="s">
        <v>133</v>
      </c>
      <c r="D13" s="541">
        <v>4.0</v>
      </c>
      <c r="E13" s="542">
        <v>3.0</v>
      </c>
      <c r="F13" s="543">
        <v>1.0</v>
      </c>
      <c r="G13" s="541">
        <v>1.0</v>
      </c>
      <c r="H13" s="544">
        <v>3.97</v>
      </c>
      <c r="I13" s="541">
        <v>3.0</v>
      </c>
    </row>
    <row r="14">
      <c r="C14" s="540" t="s">
        <v>175</v>
      </c>
      <c r="D14" s="541">
        <v>6.0</v>
      </c>
      <c r="E14" s="545">
        <v>4.33</v>
      </c>
      <c r="F14" s="543" t="s">
        <v>173</v>
      </c>
      <c r="G14" s="541">
        <v>0.0</v>
      </c>
      <c r="H14" s="544">
        <v>4.33</v>
      </c>
      <c r="I14" s="541">
        <v>6.0</v>
      </c>
    </row>
    <row r="15">
      <c r="C15" s="540" t="s">
        <v>132</v>
      </c>
      <c r="D15" s="541">
        <v>9.0</v>
      </c>
      <c r="E15" s="545">
        <v>4.67</v>
      </c>
      <c r="F15" s="543">
        <v>4.0</v>
      </c>
      <c r="G15" s="541">
        <v>1.0</v>
      </c>
      <c r="H15" s="544">
        <v>4.75</v>
      </c>
      <c r="I15" s="541">
        <v>8.0</v>
      </c>
    </row>
    <row r="16">
      <c r="C16" s="540" t="s">
        <v>135</v>
      </c>
      <c r="D16" s="541">
        <v>15.0</v>
      </c>
      <c r="E16" s="545">
        <v>4.47</v>
      </c>
      <c r="F16" s="543" t="s">
        <v>173</v>
      </c>
      <c r="G16" s="541">
        <v>0.0</v>
      </c>
      <c r="H16" s="544">
        <v>4.47</v>
      </c>
      <c r="I16" s="541">
        <v>15.0</v>
      </c>
    </row>
    <row r="17">
      <c r="C17" s="489" t="s">
        <v>176</v>
      </c>
      <c r="D17" s="559">
        <f>SUM(D12:D16)</f>
        <v>36</v>
      </c>
      <c r="E17" s="560">
        <f t="shared" ref="E17:F17" si="5">AVERAGE(E12:E16)</f>
        <v>4.294</v>
      </c>
      <c r="F17" s="560">
        <f t="shared" si="5"/>
        <v>2.5</v>
      </c>
      <c r="G17" s="561"/>
      <c r="H17" s="560">
        <f>AVERAGE(H12:H16)</f>
        <v>4.504</v>
      </c>
      <c r="I17" s="561"/>
    </row>
    <row r="19">
      <c r="B19" s="511" t="s">
        <v>177</v>
      </c>
      <c r="C19" s="489" t="s">
        <v>126</v>
      </c>
      <c r="D19" s="490" t="s">
        <v>166</v>
      </c>
      <c r="E19" s="490" t="s">
        <v>167</v>
      </c>
      <c r="F19" s="490" t="s">
        <v>178</v>
      </c>
      <c r="G19" s="490" t="s">
        <v>179</v>
      </c>
      <c r="H19" s="490" t="s">
        <v>180</v>
      </c>
      <c r="I19" s="490" t="s">
        <v>181</v>
      </c>
    </row>
    <row r="20">
      <c r="B20" s="280" t="s">
        <v>172</v>
      </c>
      <c r="C20" s="540" t="s">
        <v>131</v>
      </c>
      <c r="D20" s="541">
        <v>19.0</v>
      </c>
      <c r="E20" s="548">
        <v>4.0</v>
      </c>
      <c r="F20" s="544">
        <v>4.73</v>
      </c>
      <c r="G20" s="544">
        <v>4.0</v>
      </c>
      <c r="H20" s="541" t="s">
        <v>173</v>
      </c>
      <c r="I20" s="498">
        <v>0.0405</v>
      </c>
    </row>
    <row r="21">
      <c r="B21" s="280" t="s">
        <v>182</v>
      </c>
      <c r="C21" s="540" t="s">
        <v>133</v>
      </c>
      <c r="D21" s="541">
        <v>107.0</v>
      </c>
      <c r="E21" s="548">
        <v>4.5</v>
      </c>
      <c r="F21" s="544">
        <v>4.59</v>
      </c>
      <c r="G21" s="544">
        <v>4.25</v>
      </c>
      <c r="H21" s="541" t="s">
        <v>173</v>
      </c>
      <c r="I21" s="498">
        <v>0.0264</v>
      </c>
    </row>
    <row r="22">
      <c r="C22" s="540" t="s">
        <v>175</v>
      </c>
      <c r="D22" s="541">
        <v>66.0</v>
      </c>
      <c r="E22" s="548">
        <v>4.3</v>
      </c>
      <c r="F22" s="544">
        <v>4.69</v>
      </c>
      <c r="G22" s="544">
        <v>3.97</v>
      </c>
      <c r="H22" s="541" t="s">
        <v>173</v>
      </c>
      <c r="I22" s="498">
        <v>0.0315</v>
      </c>
    </row>
    <row r="23">
      <c r="C23" s="540" t="s">
        <v>132</v>
      </c>
      <c r="D23" s="541">
        <v>40.0</v>
      </c>
      <c r="E23" s="548">
        <v>4.4</v>
      </c>
      <c r="F23" s="544">
        <v>4.57</v>
      </c>
      <c r="G23" s="544">
        <v>4.31</v>
      </c>
      <c r="H23" s="541" t="s">
        <v>173</v>
      </c>
      <c r="I23" s="498">
        <v>0.0315</v>
      </c>
    </row>
    <row r="24">
      <c r="C24" s="540" t="s">
        <v>135</v>
      </c>
      <c r="D24" s="541">
        <v>49.0</v>
      </c>
      <c r="E24" s="548">
        <v>4.3</v>
      </c>
      <c r="F24" s="544">
        <v>4.61</v>
      </c>
      <c r="G24" s="544">
        <v>4.19</v>
      </c>
      <c r="H24" s="541" t="s">
        <v>173</v>
      </c>
      <c r="I24" s="498">
        <v>0.045</v>
      </c>
    </row>
    <row r="25">
      <c r="C25" s="489" t="s">
        <v>176</v>
      </c>
      <c r="D25" s="559">
        <f>SUM(D20:D24)</f>
        <v>281</v>
      </c>
      <c r="E25" s="560">
        <f>AVERAGE(E20:E24)</f>
        <v>4.3</v>
      </c>
      <c r="F25" s="562"/>
      <c r="G25" s="562"/>
      <c r="H25" s="561"/>
      <c r="I25" s="563">
        <f>AVERAGE(I20:I24)</f>
        <v>0.03498</v>
      </c>
    </row>
    <row r="27">
      <c r="B27" s="523" t="s">
        <v>156</v>
      </c>
    </row>
    <row r="28">
      <c r="C28" s="552" t="s">
        <v>157</v>
      </c>
      <c r="D28" s="32"/>
      <c r="E28" s="552" t="s">
        <v>158</v>
      </c>
      <c r="F28" s="32"/>
      <c r="G28" s="553"/>
      <c r="H28" s="553"/>
      <c r="I28" s="553" t="s">
        <v>183</v>
      </c>
      <c r="J28" s="553" t="s">
        <v>184</v>
      </c>
    </row>
    <row r="29">
      <c r="B29" s="489" t="s">
        <v>126</v>
      </c>
      <c r="C29" s="489" t="s">
        <v>185</v>
      </c>
      <c r="D29" s="489" t="s">
        <v>186</v>
      </c>
      <c r="E29" s="489" t="s">
        <v>185</v>
      </c>
      <c r="F29" s="564" t="s">
        <v>186</v>
      </c>
      <c r="G29" s="564" t="s">
        <v>159</v>
      </c>
      <c r="H29" s="564" t="s">
        <v>160</v>
      </c>
      <c r="I29" s="493"/>
      <c r="J29" s="493"/>
    </row>
    <row r="30">
      <c r="B30" s="535" t="s">
        <v>135</v>
      </c>
      <c r="C30" s="541" t="s">
        <v>187</v>
      </c>
      <c r="D30" s="541">
        <v>214.0</v>
      </c>
      <c r="E30" s="554" t="s">
        <v>188</v>
      </c>
      <c r="F30" s="555">
        <v>374.0</v>
      </c>
      <c r="G30" s="565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65">
        <f t="shared" ref="H30:H35" si="7">VALUE(LEFT(G30,FIND("min",G30)-1)) + VALUE(MID(G30,FIND("min",G30)+4,FIND("sec",G30)-FIND("min",G30)-4))/100</f>
        <v>2.03</v>
      </c>
      <c r="I30" s="493"/>
      <c r="J30" s="493"/>
    </row>
    <row r="31">
      <c r="B31" s="535" t="s">
        <v>131</v>
      </c>
      <c r="C31" s="541" t="s">
        <v>189</v>
      </c>
      <c r="D31" s="541">
        <v>361.0</v>
      </c>
      <c r="E31" s="554" t="s">
        <v>190</v>
      </c>
      <c r="F31" s="555">
        <v>263.0</v>
      </c>
      <c r="G31" s="565" t="str">
        <f t="shared" si="6"/>
        <v>0 min 57 sec</v>
      </c>
      <c r="H31" s="565">
        <f t="shared" si="7"/>
        <v>0.57</v>
      </c>
      <c r="I31" s="493"/>
      <c r="J31" s="493"/>
    </row>
    <row r="32">
      <c r="B32" s="535" t="s">
        <v>133</v>
      </c>
      <c r="C32" s="541" t="s">
        <v>191</v>
      </c>
      <c r="D32" s="541">
        <v>784.0</v>
      </c>
      <c r="E32" s="541" t="s">
        <v>192</v>
      </c>
      <c r="F32" s="555">
        <v>761.0</v>
      </c>
      <c r="G32" s="565" t="str">
        <f t="shared" si="6"/>
        <v>0 min 59 sec</v>
      </c>
      <c r="H32" s="565">
        <f t="shared" si="7"/>
        <v>0.59</v>
      </c>
      <c r="I32" s="493"/>
      <c r="J32" s="493"/>
    </row>
    <row r="33">
      <c r="B33" s="535" t="s">
        <v>134</v>
      </c>
      <c r="C33" s="541" t="s">
        <v>193</v>
      </c>
      <c r="D33" s="541">
        <v>439.0</v>
      </c>
      <c r="E33" s="541" t="s">
        <v>194</v>
      </c>
      <c r="F33" s="555">
        <v>483.0</v>
      </c>
      <c r="G33" s="565" t="str">
        <f t="shared" si="6"/>
        <v>1 min 14 sec</v>
      </c>
      <c r="H33" s="565">
        <f t="shared" si="7"/>
        <v>1.14</v>
      </c>
      <c r="I33" s="493"/>
      <c r="J33" s="493"/>
    </row>
    <row r="34">
      <c r="B34" s="535" t="s">
        <v>132</v>
      </c>
      <c r="C34" s="541" t="s">
        <v>195</v>
      </c>
      <c r="D34" s="541">
        <v>156.0</v>
      </c>
      <c r="E34" s="541" t="s">
        <v>196</v>
      </c>
      <c r="F34" s="556">
        <v>382.0</v>
      </c>
      <c r="G34" s="565" t="str">
        <f t="shared" si="6"/>
        <v>1 min 48 sec</v>
      </c>
      <c r="H34" s="565">
        <f t="shared" si="7"/>
        <v>1.48</v>
      </c>
      <c r="I34" s="557"/>
      <c r="J34" s="557"/>
    </row>
    <row r="35">
      <c r="B35" s="489" t="s">
        <v>136</v>
      </c>
      <c r="C35" s="526" t="s">
        <v>197</v>
      </c>
      <c r="D35" s="517">
        <f>sum(D30:D34)</f>
        <v>1954</v>
      </c>
      <c r="E35" s="526" t="s">
        <v>198</v>
      </c>
      <c r="F35" s="517">
        <f>SUM(F30:F34)</f>
        <v>2263</v>
      </c>
      <c r="G35" s="489" t="str">
        <f t="shared" si="6"/>
        <v>1 min 19 sec</v>
      </c>
      <c r="H35" s="489">
        <f t="shared" si="7"/>
        <v>1.19</v>
      </c>
      <c r="I35" s="493"/>
      <c r="J35" s="493"/>
    </row>
    <row r="36">
      <c r="F36" s="553" t="s">
        <v>199</v>
      </c>
      <c r="G36" s="553" t="s">
        <v>200</v>
      </c>
      <c r="H36" s="553" t="s">
        <v>218</v>
      </c>
      <c r="I36" s="553" t="s">
        <v>183</v>
      </c>
      <c r="J36" s="553" t="s">
        <v>184</v>
      </c>
    </row>
    <row r="37">
      <c r="F37" s="493"/>
      <c r="G37" s="493"/>
      <c r="H37" s="493"/>
      <c r="I37" s="493"/>
      <c r="J37" s="493"/>
    </row>
    <row r="38">
      <c r="F38" s="493"/>
      <c r="G38" s="493"/>
      <c r="H38" s="493"/>
      <c r="I38" s="493"/>
      <c r="J38" s="493"/>
    </row>
    <row r="39">
      <c r="F39" s="493"/>
      <c r="G39" s="493"/>
      <c r="H39" s="493"/>
      <c r="I39" s="493"/>
      <c r="J39" s="493"/>
    </row>
    <row r="40">
      <c r="F40" s="493"/>
      <c r="G40" s="493"/>
      <c r="H40" s="493"/>
      <c r="I40" s="493"/>
      <c r="J40" s="493"/>
    </row>
    <row r="41">
      <c r="F41" s="493"/>
      <c r="G41" s="493"/>
      <c r="H41" s="493"/>
      <c r="I41" s="493"/>
      <c r="J41" s="493"/>
    </row>
    <row r="42">
      <c r="F42" s="557"/>
      <c r="G42" s="557"/>
      <c r="H42" s="557"/>
      <c r="I42" s="557"/>
      <c r="J42" s="557"/>
    </row>
    <row r="43">
      <c r="F43" s="493"/>
      <c r="G43" s="493"/>
      <c r="H43" s="493"/>
      <c r="I43" s="493"/>
      <c r="J43" s="493"/>
    </row>
  </sheetData>
  <mergeCells count="2">
    <mergeCell ref="C28:D28"/>
    <mergeCell ref="E28:F28"/>
  </mergeCells>
  <drawing r:id="rId1"/>
</worksheet>
</file>