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4"/>
    <sheet state="visible" name="WEEKLY&gt;&gt;&gt;" sheetId="2" r:id="rId5"/>
    <sheet state="visible" name="Weekly Store Scorecards " sheetId="3" r:id="rId6"/>
    <sheet state="visible" name="Weekly Area Leader Dashboard" sheetId="4" r:id="rId7"/>
    <sheet state="hidden" name="Weekly Store Scorecards" sheetId="5" r:id="rId8"/>
    <sheet state="hidden" name="PERIODIC&gt;&gt;&gt;" sheetId="6" r:id="rId9"/>
    <sheet state="hidden" name="Period Store Scorecards " sheetId="7" r:id="rId10"/>
    <sheet state="hidden" name="Period Store Scorecards" sheetId="8" r:id="rId11"/>
    <sheet state="hidden" name="Periodic Area Leader Dashboard" sheetId="9" r:id="rId12"/>
    <sheet state="hidden" name="QUATERLY&gt;&gt;&gt;" sheetId="10" r:id="rId13"/>
    <sheet state="hidden" name="Quaterly Store Scorecards" sheetId="11" r:id="rId14"/>
    <sheet state="hidden" name="Quaterly Store Scorecards " sheetId="12" r:id="rId15"/>
    <sheet state="hidden" name="Quaterly Area Leader Dashboard" sheetId="13" r:id="rId16"/>
    <sheet state="visible" name="Derived Tables&gt;&gt;&gt;" sheetId="14" r:id="rId17"/>
    <sheet state="visible" name="Weekly Tables" sheetId="15" r:id="rId18"/>
    <sheet state="hidden" name="Period Tables" sheetId="16" r:id="rId19"/>
    <sheet state="hidden" name="Quaterly Tables" sheetId="17" r:id="rId20"/>
  </sheets>
  <definedNames/>
  <calcPr/>
  <extLst>
    <ext uri="GoogleSheetsCustomDataVersion2">
      <go:sheetsCustomData xmlns:go="http://customooxmlschemas.google.com/" r:id="rId21" roundtripDataChecksum="eZtpy7m2vP8RF/ycTRu4nqJo4XqMynI8zP9e2dFhOA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ID#AAAB50CJ_Hs
tc={2ad3a44a-5180-4fc0-9e4d-81d2a66dc169}    (2026-05-05 18:19:42)
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</t>
      </text>
    </comment>
    <comment authorId="0" ref="C1">
      <text>
        <t xml:space="preserve">======
ID#AAAB50CJ_HQ
tc={81f8dc3d-d753-4436-a67b-e2f6a2ef47f0}    (2026-05-05 18:19:42)
[Threaded comment]
 Your version of Excel allows you to read this threaded comment; however, any edits to it will get removed if the file is opened in a newer version of Excel. Learn more: https://go.microsoft.com/fwlink/?linkid=870924
Comment:
	total adds up to be 125%</t>
      </text>
    </comment>
  </commentList>
  <extLst>
    <ext uri="GoogleSheetsCustomDataVersion2">
      <go:sheetsCustomData xmlns:go="http://customooxmlschemas.google.com/" r:id="rId1" roundtripDataSignature="AMtx7mi5+fDEu7OQb+HGhIMTtl3uaYajb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ID#AAAB50CJ_HY
tc={957dd2f9-6c67-4f81-9815-746481b7d0c0}    (2026-05-05 18:19:42)
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</t>
      </text>
    </comment>
  </commentList>
  <extLst>
    <ext uri="GoogleSheetsCustomDataVersion2">
      <go:sheetsCustomData xmlns:go="http://customooxmlschemas.google.com/" r:id="rId1" roundtripDataSignature="AMtx7mjnEWKM/4WPvIojJmF8grXv97Vh9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1">
      <text>
        <t xml:space="preserve">======
ID#AAAB50CJ_Hw
tc={0ee91324-cae0-4a80-bf93-01a333537b45}    (2026-05-05 18:19:42)
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</t>
      </text>
    </comment>
    <comment authorId="0" ref="E1">
      <text>
        <t xml:space="preserve">======
ID#AAAB50CJ_Ho
tc={e5cf6966-e11f-4cc1-897d-bd5428b15093}    (2026-05-05 18:19:42)
[Threaded comment]
 Your version of Excel allows you to read this threaded comment; however, any edits to it will get removed if the file is opened in a newer version of Excel. Learn more: https://go.microsoft.com/fwlink/?linkid=870924
Comment:
	100% + Var%LY</t>
      </text>
    </comment>
    <comment authorId="0" ref="C1">
      <text>
        <t xml:space="preserve">======
ID#AAAB50CJ_Hk
tc={f0fe236d-8381-46f3-be56-a9a070940e67}    (2026-05-05 18:19:42)
[Threaded comment]
 Your version of Excel allows you to read this threaded comment; however, any edits to it will get removed if the file is opened in a newer version of Excel. Learn more: https://go.microsoft.com/fwlink/?linkid=870924
Comment:
	Added %s in Scoring</t>
      </text>
    </comment>
    <comment authorId="0" ref="F1">
      <text>
        <t xml:space="preserve">======
ID#AAAB50CJ_Hg
tc={37576978-81df-47e1-8985-b8db4ff1a3da}    (2026-05-05 18:19:42)
[Threaded comment]
 Your version of Excel allows you to read this threaded comment; however, any edits to it will get removed if the file is opened in a newer version of Excel. Learn more: https://go.microsoft.com/fwlink/?linkid=870924
Comment:
	Added %s</t>
      </text>
    </comment>
    <comment authorId="0" ref="AF1">
      <text>
        <t xml:space="preserve">======
ID#AAAB50CJ_Hc
tc={781253cc-ca48-4f1f-ac3e-2e89e981a461}    (2026-05-05 18:19:42)
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</t>
      </text>
    </comment>
    <comment authorId="0" ref="X1">
      <text>
        <t xml:space="preserve">======
ID#AAAB50CJ_HU
tc={404971d7-766b-4fef-8867-038fb32bd35c}    (2026-05-05 18:19:42)
[Threaded comment]
 Your version of Excel allows you to read this threaded comment; however, any edits to it will get removed if the file is opened in a newer version of Excel. Learn more: https://go.microsoft.com/fwlink/?linkid=870924
Comment:
	Added %s</t>
      </text>
    </comment>
    <comment authorId="0" ref="AQ1">
      <text>
        <t xml:space="preserve">======
ID#AAAB50CJ_HM
tc={03e363c3-7d81-41a4-b8f8-56be39577e81}    (2026-05-05 18:19:42)
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</t>
      </text>
    </comment>
    <comment authorId="0" ref="B1">
      <text>
        <t xml:space="preserve">======
ID#AAAB50CJ_HI
tc={979d70e6-7e99-400b-b077-567dd694a4bd}    (2026-05-05 18:19:42)
[Threaded comment]
 Your version of Excel allows you to read this threaded comment; however, any edits to it will get removed if the file is opened in a newer version of Excel. Learn more: https://go.microsoft.com/fwlink/?linkid=870924
Comment:
	100%+var%bud</t>
      </text>
    </comment>
    <comment authorId="0" ref="U1">
      <text>
        <t xml:space="preserve">======
ID#AAAB50CJ_HE
tc={71946f3e-3f2e-42da-999a-dd66c25b54ed}    (2026-05-05 18:19:42)
[Threaded comment]
 Your version of Excel allows you to read this threaded comment; however, any edits to it will get removed if the file is opened in a newer version of Excel. Learn more: https://go.microsoft.com/fwlink/?linkid=870924
Comment:
	Added NA to formula</t>
      </text>
    </comment>
  </commentList>
  <extLst>
    <ext uri="GoogleSheetsCustomDataVersion2">
      <go:sheetsCustomData xmlns:go="http://customooxmlschemas.google.com/" r:id="rId1" roundtripDataSignature="AMtx7mjf4KOsmuUiZBe9jkwDl9ALynwFyQ=="/>
    </ext>
  </extLst>
</comments>
</file>

<file path=xl/sharedStrings.xml><?xml version="1.0" encoding="utf-8"?>
<sst xmlns="http://schemas.openxmlformats.org/spreadsheetml/2006/main" count="1098" uniqueCount="205">
  <si>
    <t>Category</t>
  </si>
  <si>
    <t>Metric</t>
  </si>
  <si>
    <t>Weight (%)</t>
  </si>
  <si>
    <t>0</t>
  </si>
  <si>
    <t>1</t>
  </si>
  <si>
    <t>2</t>
  </si>
  <si>
    <t>3 (Contributor)</t>
  </si>
  <si>
    <t>4 (High)</t>
  </si>
  <si>
    <t>5 (STAR)</t>
  </si>
  <si>
    <t>Sales</t>
  </si>
  <si>
    <t>Sales vs Budget (%)</t>
  </si>
  <si>
    <t>&lt;90%</t>
  </si>
  <si>
    <t>90-94.9%</t>
  </si>
  <si>
    <t>95–98.9%</t>
  </si>
  <si>
    <t>99–101.9%</t>
  </si>
  <si>
    <t>102–104.9%</t>
  </si>
  <si>
    <t>&gt;105%</t>
  </si>
  <si>
    <t>Sales vs Prior Year (%)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</si>
  <si>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</si>
  <si>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</si>
  <si>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</si>
  <si>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</si>
  <si>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</si>
  <si>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</si>
  <si>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</si>
  <si>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</si>
  <si>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</si>
  <si>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</si>
  <si>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</si>
  <si>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</si>
  <si>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</si>
  <si>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</si>
  <si>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</si>
  <si>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Labor vs Budget Variance (pts)</t>
  </si>
  <si>
    <t>≥+3.0</t>
  </si>
  <si>
    <t>+2.0–2.99</t>
  </si>
  <si>
    <t>+1.0–1.99</t>
  </si>
  <si>
    <t>0.0–0.99</t>
  </si>
  <si>
    <t>-0.5– -0.99</t>
  </si>
  <si>
    <t>≤-1.0</t>
  </si>
  <si>
    <t>COGS vs Budget Variance (pts)</t>
  </si>
  <si>
    <t>-0.5–-0.99</t>
  </si>
  <si>
    <t>Operational</t>
  </si>
  <si>
    <t>Google Rating</t>
  </si>
  <si>
    <t>&lt;3.8</t>
  </si>
  <si>
    <t>&lt;4.0</t>
  </si>
  <si>
    <t>4.0–4.29</t>
  </si>
  <si>
    <t>4.3–4.49</t>
  </si>
  <si>
    <t>4.5–4.69</t>
  </si>
  <si>
    <t>≥4.7</t>
  </si>
  <si>
    <t>Yelp Rating</t>
  </si>
  <si>
    <t>3P Error Rate (%)</t>
  </si>
  <si>
    <t>&gt;6%</t>
  </si>
  <si>
    <t>4.01–6%</t>
  </si>
  <si>
    <t>2.01–4%</t>
  </si>
  <si>
    <t>1.51–2%</t>
  </si>
  <si>
    <t>1.01–1.5%</t>
  </si>
  <si>
    <t>≤1%</t>
  </si>
  <si>
    <t>Avoidable Wait (mins)</t>
  </si>
  <si>
    <t>&gt;8</t>
  </si>
  <si>
    <t>&gt;5–8</t>
  </si>
  <si>
    <t>&gt;2–5</t>
  </si>
  <si>
    <t>≤2 &amp; &gt;1.5</t>
  </si>
  <si>
    <t>≤1.5 &amp; &gt;1</t>
  </si>
  <si>
    <t>≤1</t>
  </si>
  <si>
    <t>3P Rating</t>
  </si>
  <si>
    <t>Full Audit Score</t>
  </si>
  <si>
    <t>&lt;70</t>
  </si>
  <si>
    <t>70–74</t>
  </si>
  <si>
    <t>75–82</t>
  </si>
  <si>
    <t>83–88</t>
  </si>
  <si>
    <t>89–93</t>
  </si>
  <si>
    <t>≥94</t>
  </si>
  <si>
    <t>Culinary Audit Score</t>
  </si>
  <si>
    <t>Eligibility</t>
  </si>
  <si>
    <t>Training Completion % (Gate)</t>
  </si>
  <si>
    <t>&lt;87%</t>
  </si>
  <si>
    <t>≥87%</t>
  </si>
  <si>
    <t>RASA · Store Scoring Matrix - Weekly</t>
  </si>
  <si>
    <t>90–94.9%</t>
  </si>
  <si>
    <t>Interpolated score range</t>
  </si>
  <si>
    <t>—</t>
  </si>
  <si>
    <t>1.0 – 1.9</t>
  </si>
  <si>
    <t>2.0 – 2.9</t>
  </si>
  <si>
    <t>3.0 – 3.9</t>
  </si>
  <si>
    <t>4.0 – 4.9</t>
  </si>
  <si>
    <t>&lt;−5%</t>
  </si>
  <si>
    <t>−5% to 0%</t>
  </si>
  <si>
    <t>0.1–4.9%</t>
  </si>
  <si>
    <t>5–7.4%</t>
  </si>
  <si>
    <t>7.5–14.9%</t>
  </si>
  <si>
    <t>2.0 to 2.99</t>
  </si>
  <si>
    <t>1.0 to +1.99</t>
  </si>
  <si>
    <t>0.01 to 0.99</t>
  </si>
  <si>
    <t>0.0 to -0.99</t>
  </si>
  <si>
    <t>≤−1.0</t>
  </si>
  <si>
    <t>2.0 to +2.99</t>
  </si>
  <si>
    <t>3.8–3.99</t>
  </si>
  <si>
    <t>&gt;5 to 8</t>
  </si>
  <si>
    <t>&gt;2 to 5</t>
  </si>
  <si>
    <t>&gt;1.5 to 2</t>
  </si>
  <si>
    <t>&gt;1 to 1.5</t>
  </si>
  <si>
    <t>Total Weight (scored metrics only)</t>
  </si>
  <si>
    <t>RASA · Period Scoring Matrix</t>
  </si>
  <si>
    <t>75–84%</t>
  </si>
  <si>
    <t>85–94%</t>
  </si>
  <si>
    <t>95–100%</t>
  </si>
  <si>
    <t>101–105%</t>
  </si>
  <si>
    <t>&lt;87% = Ineligible</t>
  </si>
  <si>
    <t>≥87% = Eligible</t>
  </si>
  <si>
    <t>RASA · Quaterly Scoring Matrix</t>
  </si>
  <si>
    <t>Location</t>
  </si>
  <si>
    <t xml:space="preserve">In-Store Rating </t>
  </si>
  <si>
    <t>Composite
Score (0–5)</t>
  </si>
  <si>
    <t>Input</t>
  </si>
  <si>
    <t>Score</t>
  </si>
  <si>
    <t>Weighted</t>
  </si>
  <si>
    <t>Ballpark</t>
  </si>
  <si>
    <t>Mosaic</t>
  </si>
  <si>
    <t>MVT</t>
  </si>
  <si>
    <t>National Landing</t>
  </si>
  <si>
    <t>Rockville</t>
  </si>
  <si>
    <t>All Stores</t>
  </si>
  <si>
    <t>Weight</t>
  </si>
  <si>
    <t xml:space="preserve">
</t>
  </si>
  <si>
    <t>Restaurant</t>
  </si>
  <si>
    <t>Composite Score</t>
  </si>
  <si>
    <t>Contributor Band</t>
  </si>
  <si>
    <t>3P Error %</t>
  </si>
  <si>
    <t>Labor Var (pts)</t>
  </si>
  <si>
    <t>COGS Var (pts)</t>
  </si>
  <si>
    <t>Focus Audit Score</t>
  </si>
  <si>
    <t>Training % (Gate)</t>
  </si>
  <si>
    <t>Composite Score (0-5)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</si>
  <si>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</si>
  <si>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</si>
  <si>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</si>
  <si>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</si>
  <si>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</si>
  <si>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</si>
  <si>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In-Store Rating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</si>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</sst>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#,##0.0"/>
    <numFmt numFmtId="167" formatCode="0.0%;(0.0%)"/>
    <numFmt numFmtId="168" formatCode="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4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sz val="11.0"/>
      <color theme="1"/>
      <name val="Montserrat"/>
    </font>
    <font>
      <b/>
      <sz val="13.0"/>
      <color rgb="FFFFFFFF"/>
      <name val="Montserrat"/>
    </font>
    <font/>
    <font>
      <b/>
      <color rgb="FF1A1A1A"/>
      <name val="Montserrat"/>
    </font>
    <font>
      <b/>
      <sz val="9.0"/>
      <color rgb="FF2C2C2C"/>
      <name val="Montserrat"/>
    </font>
    <font>
      <color rgb="FF1A1A1A"/>
      <name val="Montserrat"/>
    </font>
    <font>
      <i/>
      <sz val="8.0"/>
      <color rgb="FF999999"/>
      <name val="Montserrat"/>
    </font>
    <font>
      <i/>
      <sz val="8.0"/>
      <color rgb="FF555555"/>
      <name val="Montserrat"/>
    </font>
    <font>
      <i/>
      <sz val="8.0"/>
      <color rgb="FF666666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sz val="10.0"/>
      <color rgb="FF1A1A1A"/>
      <name val="Montserrat"/>
    </font>
    <font>
      <sz val="10.0"/>
      <color theme="1"/>
      <name val="Montserrat"/>
    </font>
    <font>
      <b/>
      <sz val="11.0"/>
      <color rgb="FF000000"/>
      <name val="Montserrat"/>
    </font>
    <font>
      <b/>
      <color theme="1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color theme="1"/>
      <name val="Calibri"/>
    </font>
    <font>
      <color theme="1"/>
      <name val="Arial"/>
    </font>
    <font>
      <b/>
      <color theme="1"/>
      <name val="Arial"/>
    </font>
    <font>
      <sz val="11.0"/>
      <color rgb="FF000000"/>
      <name val="Calibri"/>
    </font>
    <font>
      <b/>
      <sz val="9.0"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Montserrat"/>
    </font>
    <font>
      <b/>
      <color rgb="FFFFFFFF"/>
      <name val="Arial"/>
    </font>
    <font>
      <color rgb="FF000000"/>
      <name val="Arial"/>
    </font>
    <font>
      <b/>
      <sz val="11.0"/>
      <color rgb="FFFFFFFF"/>
      <name val="Arial"/>
    </font>
  </fonts>
  <fills count="57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9900FF"/>
        <bgColor rgb="FF9900FF"/>
      </patternFill>
    </fill>
    <fill>
      <patternFill patternType="solid">
        <fgColor rgb="FFD4E6F1"/>
        <bgColor rgb="FFD4E6F1"/>
      </patternFill>
    </fill>
    <fill>
      <patternFill patternType="solid">
        <fgColor rgb="FFDDE1E7"/>
        <bgColor rgb="FFDDE1E7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FEF9E7"/>
        <bgColor rgb="FFFEF9E7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ECECEC"/>
        <bgColor rgb="FFECECEC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F5F6FA"/>
        <bgColor rgb="FFF5F6FA"/>
      </patternFill>
    </fill>
    <fill>
      <patternFill patternType="solid">
        <fgColor rgb="FFF2F3F4"/>
        <bgColor rgb="FFF2F3F4"/>
      </patternFill>
    </fill>
    <fill>
      <patternFill patternType="solid">
        <fgColor rgb="FFFAD7D3"/>
        <bgColor rgb="FFFAD7D3"/>
      </patternFill>
    </fill>
    <fill>
      <patternFill patternType="solid">
        <fgColor rgb="FF1F2D3D"/>
        <bgColor rgb="FF1F2D3D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63BE7B"/>
        <bgColor rgb="FF63BE7B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A7D59F"/>
        <bgColor rgb="FFA7D59F"/>
      </patternFill>
    </fill>
    <fill>
      <patternFill patternType="solid">
        <fgColor rgb="FFFCBFA8"/>
        <bgColor rgb="FFFCBFA8"/>
      </patternFill>
    </fill>
    <fill>
      <patternFill patternType="solid">
        <fgColor rgb="FFC2DEAD"/>
        <bgColor rgb="FFC2DEAD"/>
      </patternFill>
    </fill>
    <fill>
      <patternFill patternType="solid">
        <fgColor rgb="FFFDCEB2"/>
        <bgColor rgb="FFFDCEB2"/>
      </patternFill>
    </fill>
    <fill>
      <patternFill patternType="solid">
        <fgColor rgb="FFFEE7C4"/>
        <bgColor rgb="FFFEE7C4"/>
      </patternFill>
    </fill>
    <fill>
      <patternFill patternType="solid">
        <fgColor rgb="FFFDDDBD"/>
        <bgColor rgb="FFFDDDBD"/>
      </patternFill>
    </fill>
    <fill>
      <patternFill patternType="solid">
        <fgColor rgb="FFD0E3B4"/>
        <bgColor rgb="FFD0E3B4"/>
      </patternFill>
    </fill>
    <fill>
      <patternFill patternType="solid">
        <fgColor rgb="FFEBECC2"/>
        <bgColor rgb="FFEBECC2"/>
      </patternFill>
    </fill>
    <fill>
      <patternFill patternType="solid">
        <fgColor rgb="FFFEE2C1"/>
        <bgColor rgb="FFFEE2C1"/>
      </patternFill>
    </fill>
    <fill>
      <patternFill patternType="solid">
        <fgColor rgb="FFF2EEC5"/>
        <bgColor rgb="FFF2EEC5"/>
      </patternFill>
    </fill>
    <fill>
      <patternFill patternType="solid">
        <fgColor rgb="FF9AD198"/>
        <bgColor rgb="FF9AD198"/>
      </patternFill>
    </fill>
    <fill>
      <patternFill patternType="solid">
        <fgColor rgb="FFC9E0B0"/>
        <bgColor rgb="FFC9E0B0"/>
      </patternFill>
    </fill>
    <fill>
      <patternFill patternType="solid">
        <fgColor rgb="FFE4E9BE"/>
        <bgColor rgb="FFE4E9BE"/>
      </patternFill>
    </fill>
    <fill>
      <patternFill patternType="solid">
        <fgColor rgb="FFFCC4AB"/>
        <bgColor rgb="FFFCC4AB"/>
      </patternFill>
    </fill>
    <fill>
      <patternFill patternType="solid">
        <fgColor rgb="FF71C383"/>
        <bgColor rgb="FF71C383"/>
      </patternFill>
    </fill>
    <fill>
      <patternFill patternType="solid">
        <fgColor rgb="FF7FC88A"/>
        <bgColor rgb="FF7FC88A"/>
      </patternFill>
    </fill>
    <fill>
      <patternFill patternType="solid">
        <fgColor rgb="FFAED7A2"/>
        <bgColor rgb="FFAED7A2"/>
      </patternFill>
    </fill>
    <fill>
      <patternFill patternType="solid">
        <fgColor rgb="FFA1D39B"/>
        <bgColor rgb="FFA1D39B"/>
      </patternFill>
    </fill>
    <fill>
      <patternFill patternType="solid">
        <fgColor rgb="FFFBB09D"/>
        <bgColor rgb="FFFBB09D"/>
      </patternFill>
    </fill>
    <fill>
      <patternFill patternType="solid">
        <fgColor rgb="FFF3F3F3"/>
        <bgColor rgb="FFF3F3F3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34">
    <border/>
    <border>
      <left/>
      <right/>
      <top/>
      <bottom/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1"/>
    </xf>
    <xf borderId="0" fillId="0" fontId="2" numFmtId="165" xfId="0" applyFont="1" applyNumberFormat="1"/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164" xfId="0" applyFont="1" applyNumberFormat="1"/>
    <xf borderId="0" fillId="0" fontId="2" numFmtId="2" xfId="0" applyFont="1" applyNumberFormat="1"/>
    <xf borderId="0" fillId="0" fontId="2" numFmtId="4" xfId="0" applyFont="1" applyNumberFormat="1"/>
    <xf borderId="2" fillId="9" fontId="4" numFmtId="0" xfId="0" applyAlignment="1" applyBorder="1" applyFill="1" applyFont="1">
      <alignment horizontal="center" shrinkToFit="0" wrapText="0"/>
    </xf>
    <xf borderId="3" fillId="0" fontId="5" numFmtId="0" xfId="0" applyBorder="1" applyFont="1"/>
    <xf borderId="0" fillId="0" fontId="2" numFmtId="166" xfId="0" applyFont="1" applyNumberFormat="1"/>
    <xf borderId="4" fillId="9" fontId="1" numFmtId="0" xfId="0" applyAlignment="1" applyBorder="1" applyFont="1">
      <alignment horizontal="center"/>
    </xf>
    <xf borderId="4" fillId="9" fontId="1" numFmtId="164" xfId="0" applyAlignment="1" applyBorder="1" applyFont="1" applyNumberFormat="1">
      <alignment horizontal="center"/>
    </xf>
    <xf borderId="5" fillId="10" fontId="6" numFmtId="0" xfId="0" applyAlignment="1" applyBorder="1" applyFill="1" applyFont="1">
      <alignment horizontal="center" shrinkToFit="0" wrapText="0"/>
    </xf>
    <xf borderId="5" fillId="10" fontId="6" numFmtId="0" xfId="0" applyAlignment="1" applyBorder="1" applyFont="1">
      <alignment horizontal="left" shrinkToFit="0" wrapText="0"/>
    </xf>
    <xf borderId="5" fillId="11" fontId="6" numFmtId="164" xfId="0" applyAlignment="1" applyBorder="1" applyFill="1" applyFont="1" applyNumberFormat="1">
      <alignment horizontal="center" shrinkToFit="0" wrapText="0"/>
    </xf>
    <xf borderId="5" fillId="12" fontId="7" numFmtId="2" xfId="0" applyAlignment="1" applyBorder="1" applyFill="1" applyFont="1" applyNumberFormat="1">
      <alignment horizontal="center"/>
    </xf>
    <xf borderId="5" fillId="13" fontId="7" numFmtId="0" xfId="0" applyAlignment="1" applyBorder="1" applyFill="1" applyFont="1">
      <alignment horizontal="center"/>
    </xf>
    <xf borderId="5" fillId="14" fontId="7" numFmtId="0" xfId="0" applyAlignment="1" applyBorder="1" applyFill="1" applyFont="1">
      <alignment horizontal="center"/>
    </xf>
    <xf borderId="5" fillId="15" fontId="7" numFmtId="2" xfId="0" applyAlignment="1" applyBorder="1" applyFill="1" applyFont="1" applyNumberFormat="1">
      <alignment horizontal="center"/>
    </xf>
    <xf borderId="5" fillId="16" fontId="7" numFmtId="0" xfId="0" applyAlignment="1" applyBorder="1" applyFill="1" applyFont="1">
      <alignment horizontal="center"/>
    </xf>
    <xf borderId="5" fillId="17" fontId="7" numFmtId="0" xfId="0" applyAlignment="1" applyBorder="1" applyFill="1" applyFont="1">
      <alignment horizontal="center"/>
    </xf>
    <xf borderId="5" fillId="10" fontId="8" numFmtId="0" xfId="0" applyAlignment="1" applyBorder="1" applyFont="1">
      <alignment horizontal="center" shrinkToFit="0" wrapText="0"/>
    </xf>
    <xf borderId="5" fillId="18" fontId="9" numFmtId="0" xfId="0" applyAlignment="1" applyBorder="1" applyFill="1" applyFont="1">
      <alignment horizontal="left" shrinkToFit="0" wrapText="0"/>
    </xf>
    <xf borderId="5" fillId="18" fontId="8" numFmtId="164" xfId="0" applyAlignment="1" applyBorder="1" applyFont="1" applyNumberFormat="1">
      <alignment horizontal="center" shrinkToFit="0" wrapText="0"/>
    </xf>
    <xf borderId="5" fillId="18" fontId="10" numFmtId="2" xfId="0" applyAlignment="1" applyBorder="1" applyFont="1" applyNumberFormat="1">
      <alignment horizontal="center" shrinkToFit="0" wrapText="0"/>
    </xf>
    <xf borderId="5" fillId="18" fontId="10" numFmtId="0" xfId="0" applyAlignment="1" applyBorder="1" applyFont="1">
      <alignment horizontal="center" shrinkToFit="0" wrapText="0"/>
    </xf>
    <xf borderId="5" fillId="19" fontId="6" numFmtId="0" xfId="0" applyAlignment="1" applyBorder="1" applyFill="1" applyFont="1">
      <alignment horizontal="center" shrinkToFit="0" wrapText="0"/>
    </xf>
    <xf borderId="5" fillId="19" fontId="6" numFmtId="0" xfId="0" applyAlignment="1" applyBorder="1" applyFont="1">
      <alignment horizontal="left" shrinkToFit="0" wrapText="0"/>
    </xf>
    <xf borderId="5" fillId="12" fontId="7" numFmtId="0" xfId="0" applyAlignment="1" applyBorder="1" applyFont="1">
      <alignment horizontal="center"/>
    </xf>
    <xf borderId="5" fillId="15" fontId="7" numFmtId="0" xfId="0" applyAlignment="1" applyBorder="1" applyFont="1">
      <alignment horizontal="center"/>
    </xf>
    <xf borderId="5" fillId="19" fontId="8" numFmtId="0" xfId="0" applyAlignment="1" applyBorder="1" applyFont="1">
      <alignment horizontal="center" shrinkToFit="0" wrapText="0"/>
    </xf>
    <xf borderId="5" fillId="20" fontId="6" numFmtId="0" xfId="0" applyAlignment="1" applyBorder="1" applyFill="1" applyFont="1">
      <alignment horizontal="center" shrinkToFit="0" wrapText="0"/>
    </xf>
    <xf borderId="5" fillId="20" fontId="6" numFmtId="0" xfId="0" applyAlignment="1" applyBorder="1" applyFont="1">
      <alignment horizontal="left" shrinkToFit="0" wrapText="0"/>
    </xf>
    <xf borderId="5" fillId="20" fontId="8" numFmtId="0" xfId="0" applyAlignment="1" applyBorder="1" applyFont="1">
      <alignment horizontal="center" shrinkToFit="0" wrapText="0"/>
    </xf>
    <xf borderId="2" fillId="9" fontId="1" numFmtId="0" xfId="0" applyAlignment="1" applyBorder="1" applyFont="1">
      <alignment horizontal="right" shrinkToFit="0" wrapText="0"/>
    </xf>
    <xf borderId="4" fillId="9" fontId="1" numFmtId="164" xfId="0" applyAlignment="1" applyBorder="1" applyFont="1" applyNumberFormat="1">
      <alignment horizontal="center" shrinkToFit="0" wrapText="0"/>
    </xf>
    <xf borderId="4" fillId="9" fontId="8" numFmtId="0" xfId="0" applyAlignment="1" applyBorder="1" applyFont="1">
      <alignment horizontal="center" shrinkToFit="0" wrapText="0"/>
    </xf>
    <xf borderId="2" fillId="21" fontId="11" numFmtId="0" xfId="0" applyAlignment="1" applyBorder="1" applyFill="1" applyFont="1">
      <alignment horizontal="left" shrinkToFit="0" wrapText="0"/>
    </xf>
    <xf borderId="5" fillId="15" fontId="6" numFmtId="0" xfId="0" applyAlignment="1" applyBorder="1" applyFont="1">
      <alignment horizontal="center" shrinkToFit="0" wrapText="0"/>
    </xf>
    <xf borderId="5" fillId="15" fontId="6" numFmtId="0" xfId="0" applyAlignment="1" applyBorder="1" applyFont="1">
      <alignment horizontal="left" shrinkToFit="0" wrapText="0"/>
    </xf>
    <xf borderId="5" fillId="15" fontId="8" numFmtId="0" xfId="0" applyAlignment="1" applyBorder="1" applyFont="1">
      <alignment horizontal="center" shrinkToFit="0" wrapText="0"/>
    </xf>
    <xf borderId="5" fillId="22" fontId="6" numFmtId="0" xfId="0" applyAlignment="1" applyBorder="1" applyFill="1" applyFont="1">
      <alignment horizontal="center" shrinkToFit="0" wrapText="0"/>
    </xf>
    <xf borderId="5" fillId="22" fontId="6" numFmtId="0" xfId="0" applyAlignment="1" applyBorder="1" applyFont="1">
      <alignment horizontal="left" shrinkToFit="0" wrapText="0"/>
    </xf>
    <xf borderId="5" fillId="23" fontId="7" numFmtId="0" xfId="0" applyAlignment="1" applyBorder="1" applyFill="1" applyFont="1">
      <alignment horizontal="center"/>
    </xf>
    <xf borderId="5" fillId="22" fontId="8" numFmtId="0" xfId="0" applyAlignment="1" applyBorder="1" applyFont="1">
      <alignment horizontal="center" shrinkToFit="0" wrapText="0"/>
    </xf>
    <xf borderId="6" fillId="24" fontId="12" numFmtId="0" xfId="0" applyAlignment="1" applyBorder="1" applyFill="1" applyFont="1">
      <alignment horizontal="center" shrinkToFit="0" vertical="center" wrapText="0"/>
    </xf>
    <xf borderId="7" fillId="10" fontId="13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19" fontId="13" numFmtId="0" xfId="0" applyAlignment="1" applyBorder="1" applyFont="1">
      <alignment horizontal="center" shrinkToFit="0" vertical="center" wrapText="1"/>
    </xf>
    <xf borderId="7" fillId="19" fontId="13" numFmtId="0" xfId="0" applyAlignment="1" applyBorder="1" applyFont="1">
      <alignment horizontal="center" shrinkToFit="0" vertical="center" wrapText="1"/>
    </xf>
    <xf borderId="7" fillId="20" fontId="13" numFmtId="0" xfId="0" applyAlignment="1" applyBorder="1" applyFont="1">
      <alignment horizontal="center" shrinkToFit="0" vertical="center" wrapText="1"/>
    </xf>
    <xf borderId="10" fillId="24" fontId="12" numFmtId="0" xfId="0" applyAlignment="1" applyBorder="1" applyFont="1">
      <alignment horizontal="center" shrinkToFit="0" vertical="center" wrapText="1"/>
    </xf>
    <xf borderId="11" fillId="11" fontId="14" numFmtId="0" xfId="0" applyAlignment="1" applyBorder="1" applyFont="1">
      <alignment horizontal="center" shrinkToFit="0" vertical="center" wrapText="0"/>
    </xf>
    <xf borderId="12" fillId="25" fontId="13" numFmtId="0" xfId="0" applyAlignment="1" applyBorder="1" applyFill="1" applyFont="1">
      <alignment horizontal="center" shrinkToFit="0" vertical="center" wrapText="0"/>
    </xf>
    <xf borderId="12" fillId="26" fontId="13" numFmtId="0" xfId="0" applyAlignment="1" applyBorder="1" applyFill="1" applyFont="1">
      <alignment horizontal="center" shrinkToFit="0" vertical="center" wrapText="0"/>
    </xf>
    <xf borderId="12" fillId="14" fontId="13" numFmtId="0" xfId="0" applyAlignment="1" applyBorder="1" applyFont="1">
      <alignment horizontal="center" shrinkToFit="0" vertical="center" wrapText="0"/>
    </xf>
    <xf borderId="12" fillId="11" fontId="14" numFmtId="0" xfId="0" applyAlignment="1" applyBorder="1" applyFont="1">
      <alignment horizontal="center" shrinkToFit="0" vertical="center" wrapText="0"/>
    </xf>
    <xf borderId="11" fillId="21" fontId="13" numFmtId="0" xfId="0" applyAlignment="1" applyBorder="1" applyFont="1">
      <alignment horizontal="left" shrinkToFit="0" vertical="center" wrapText="0"/>
    </xf>
    <xf borderId="13" fillId="27" fontId="15" numFmtId="167" xfId="0" applyAlignment="1" applyBorder="1" applyFill="1" applyFont="1" applyNumberFormat="1">
      <alignment horizontal="center" vertical="bottom"/>
    </xf>
    <xf borderId="12" fillId="28" fontId="3" numFmtId="2" xfId="0" applyAlignment="1" applyBorder="1" applyFill="1" applyFont="1" applyNumberFormat="1">
      <alignment horizontal="center" vertical="center"/>
    </xf>
    <xf borderId="0" fillId="14" fontId="14" numFmtId="2" xfId="0" applyAlignment="1" applyFont="1" applyNumberFormat="1">
      <alignment horizontal="center" shrinkToFit="0" vertical="center" wrapText="0"/>
    </xf>
    <xf borderId="14" fillId="14" fontId="14" numFmtId="2" xfId="0" applyAlignment="1" applyBorder="1" applyFont="1" applyNumberFormat="1">
      <alignment horizontal="center" shrinkToFit="0" vertical="center" wrapText="0"/>
    </xf>
    <xf borderId="0" fillId="29" fontId="15" numFmtId="165" xfId="0" applyAlignment="1" applyFill="1" applyFont="1" applyNumberFormat="1">
      <alignment horizontal="center" vertical="bottom"/>
    </xf>
    <xf borderId="13" fillId="30" fontId="15" numFmtId="165" xfId="0" applyAlignment="1" applyBorder="1" applyFill="1" applyFont="1" applyNumberFormat="1">
      <alignment horizontal="center" vertical="bottom"/>
    </xf>
    <xf borderId="13" fillId="31" fontId="15" numFmtId="165" xfId="0" applyAlignment="1" applyBorder="1" applyFill="1" applyFont="1" applyNumberFormat="1">
      <alignment horizontal="center" vertical="bottom"/>
    </xf>
    <xf borderId="13" fillId="27" fontId="15" numFmtId="168" xfId="0" applyAlignment="1" applyBorder="1" applyFont="1" applyNumberFormat="1">
      <alignment horizontal="center" vertical="bottom"/>
    </xf>
    <xf borderId="13" fillId="27" fontId="15" numFmtId="164" xfId="0" applyAlignment="1" applyBorder="1" applyFont="1" applyNumberFormat="1">
      <alignment horizontal="center" vertical="bottom"/>
    </xf>
    <xf borderId="13" fillId="32" fontId="15" numFmtId="4" xfId="0" applyAlignment="1" applyBorder="1" applyFill="1" applyFont="1" applyNumberFormat="1">
      <alignment horizontal="center" vertical="bottom"/>
    </xf>
    <xf borderId="13" fillId="33" fontId="15" numFmtId="166" xfId="0" applyAlignment="1" applyBorder="1" applyFill="1" applyFont="1" applyNumberFormat="1">
      <alignment horizontal="center" vertical="bottom"/>
    </xf>
    <xf borderId="13" fillId="3" fontId="15" numFmtId="167" xfId="0" applyAlignment="1" applyBorder="1" applyFont="1" applyNumberFormat="1">
      <alignment horizontal="center" vertical="bottom"/>
    </xf>
    <xf borderId="13" fillId="34" fontId="15" numFmtId="165" xfId="0" applyAlignment="1" applyBorder="1" applyFill="1" applyFont="1" applyNumberFormat="1">
      <alignment horizontal="center" vertical="bottom"/>
    </xf>
    <xf borderId="13" fillId="3" fontId="15" numFmtId="165" xfId="0" applyAlignment="1" applyBorder="1" applyFont="1" applyNumberFormat="1">
      <alignment horizontal="center" vertical="bottom"/>
    </xf>
    <xf borderId="13" fillId="28" fontId="15" numFmtId="168" xfId="0" applyAlignment="1" applyBorder="1" applyFont="1" applyNumberFormat="1">
      <alignment horizontal="center" vertical="bottom"/>
    </xf>
    <xf borderId="13" fillId="35" fontId="15" numFmtId="164" xfId="0" applyAlignment="1" applyBorder="1" applyFill="1" applyFont="1" applyNumberFormat="1">
      <alignment horizontal="center" vertical="bottom"/>
    </xf>
    <xf borderId="13" fillId="36" fontId="15" numFmtId="4" xfId="0" applyAlignment="1" applyBorder="1" applyFill="1" applyFont="1" applyNumberFormat="1">
      <alignment horizontal="center" vertical="bottom"/>
    </xf>
    <xf borderId="13" fillId="37" fontId="15" numFmtId="166" xfId="0" applyAlignment="1" applyBorder="1" applyFill="1" applyFont="1" applyNumberFormat="1">
      <alignment horizontal="center" vertical="bottom"/>
    </xf>
    <xf borderId="13" fillId="38" fontId="15" numFmtId="165" xfId="0" applyAlignment="1" applyBorder="1" applyFill="1" applyFont="1" applyNumberFormat="1">
      <alignment horizontal="center" vertical="bottom"/>
    </xf>
    <xf borderId="13" fillId="30" fontId="15" numFmtId="168" xfId="0" applyAlignment="1" applyBorder="1" applyFont="1" applyNumberFormat="1">
      <alignment horizontal="center" vertical="bottom"/>
    </xf>
    <xf borderId="13" fillId="39" fontId="15" numFmtId="164" xfId="0" applyAlignment="1" applyBorder="1" applyFill="1" applyFont="1" applyNumberFormat="1">
      <alignment horizontal="center" vertical="bottom"/>
    </xf>
    <xf borderId="13" fillId="40" fontId="15" numFmtId="4" xfId="0" applyAlignment="1" applyBorder="1" applyFill="1" applyFont="1" applyNumberFormat="1">
      <alignment horizontal="center" vertical="bottom"/>
    </xf>
    <xf borderId="13" fillId="41" fontId="15" numFmtId="166" xfId="0" applyAlignment="1" applyBorder="1" applyFill="1" applyFont="1" applyNumberFormat="1">
      <alignment horizontal="center" vertical="bottom"/>
    </xf>
    <xf borderId="13" fillId="42" fontId="15" numFmtId="167" xfId="0" applyAlignment="1" applyBorder="1" applyFill="1" applyFont="1" applyNumberFormat="1">
      <alignment horizontal="center" vertical="bottom"/>
    </xf>
    <xf borderId="13" fillId="27" fontId="15" numFmtId="165" xfId="0" applyAlignment="1" applyBorder="1" applyFont="1" applyNumberFormat="1">
      <alignment horizontal="center" vertical="bottom"/>
    </xf>
    <xf borderId="13" fillId="43" fontId="15" numFmtId="165" xfId="0" applyAlignment="1" applyBorder="1" applyFill="1" applyFont="1" applyNumberFormat="1">
      <alignment horizontal="center" vertical="bottom"/>
    </xf>
    <xf borderId="13" fillId="34" fontId="15" numFmtId="164" xfId="0" applyAlignment="1" applyBorder="1" applyFont="1" applyNumberFormat="1">
      <alignment horizontal="center" vertical="bottom"/>
    </xf>
    <xf borderId="13" fillId="44" fontId="15" numFmtId="4" xfId="0" applyAlignment="1" applyBorder="1" applyFill="1" applyFont="1" applyNumberFormat="1">
      <alignment horizontal="center" vertical="bottom"/>
    </xf>
    <xf borderId="15" fillId="21" fontId="13" numFmtId="0" xfId="0" applyAlignment="1" applyBorder="1" applyFont="1">
      <alignment horizontal="left" shrinkToFit="0" vertical="center" wrapText="0"/>
    </xf>
    <xf borderId="13" fillId="45" fontId="15" numFmtId="167" xfId="0" applyAlignment="1" applyBorder="1" applyFill="1" applyFont="1" applyNumberFormat="1">
      <alignment horizontal="center" vertical="bottom"/>
    </xf>
    <xf borderId="13" fillId="37" fontId="15" numFmtId="168" xfId="0" applyAlignment="1" applyBorder="1" applyFont="1" applyNumberFormat="1">
      <alignment horizontal="center" vertical="bottom"/>
    </xf>
    <xf borderId="13" fillId="46" fontId="15" numFmtId="164" xfId="0" applyAlignment="1" applyBorder="1" applyFill="1" applyFont="1" applyNumberFormat="1">
      <alignment horizontal="center" vertical="bottom"/>
    </xf>
    <xf borderId="13" fillId="47" fontId="15" numFmtId="4" xfId="0" applyAlignment="1" applyBorder="1" applyFill="1" applyFont="1" applyNumberFormat="1">
      <alignment horizontal="center" vertical="bottom"/>
    </xf>
    <xf borderId="16" fillId="21" fontId="13" numFmtId="0" xfId="0" applyAlignment="1" applyBorder="1" applyFont="1">
      <alignment horizontal="left" shrinkToFit="0" vertical="center" wrapText="0"/>
    </xf>
    <xf borderId="16" fillId="48" fontId="15" numFmtId="167" xfId="0" applyAlignment="1" applyBorder="1" applyFill="1" applyFont="1" applyNumberFormat="1">
      <alignment horizontal="center" vertical="bottom"/>
    </xf>
    <xf borderId="12" fillId="9" fontId="16" numFmtId="2" xfId="0" applyAlignment="1" applyBorder="1" applyFont="1" applyNumberFormat="1">
      <alignment horizontal="center" vertical="center"/>
    </xf>
    <xf borderId="17" fillId="14" fontId="14" numFmtId="2" xfId="0" applyAlignment="1" applyBorder="1" applyFont="1" applyNumberFormat="1">
      <alignment horizontal="center" shrinkToFit="0" vertical="center" wrapText="0"/>
    </xf>
    <xf borderId="16" fillId="3" fontId="15" numFmtId="167" xfId="0" applyAlignment="1" applyBorder="1" applyFont="1" applyNumberFormat="1">
      <alignment horizontal="center" vertical="bottom"/>
    </xf>
    <xf borderId="18" fillId="14" fontId="14" numFmtId="2" xfId="0" applyAlignment="1" applyBorder="1" applyFont="1" applyNumberFormat="1">
      <alignment horizontal="center" shrinkToFit="0" vertical="center" wrapText="0"/>
    </xf>
    <xf borderId="17" fillId="29" fontId="15" numFmtId="165" xfId="0" applyAlignment="1" applyBorder="1" applyFont="1" applyNumberFormat="1">
      <alignment horizontal="center" vertical="bottom"/>
    </xf>
    <xf borderId="16" fillId="46" fontId="15" numFmtId="165" xfId="0" applyAlignment="1" applyBorder="1" applyFont="1" applyNumberFormat="1">
      <alignment horizontal="center" vertical="bottom"/>
    </xf>
    <xf borderId="16" fillId="33" fontId="15" numFmtId="165" xfId="0" applyAlignment="1" applyBorder="1" applyFont="1" applyNumberFormat="1">
      <alignment horizontal="center" vertical="bottom"/>
    </xf>
    <xf borderId="16" fillId="44" fontId="15" numFmtId="168" xfId="0" applyAlignment="1" applyBorder="1" applyFont="1" applyNumberFormat="1">
      <alignment horizontal="center" vertical="bottom"/>
    </xf>
    <xf borderId="16" fillId="39" fontId="15" numFmtId="164" xfId="0" applyAlignment="1" applyBorder="1" applyFont="1" applyNumberFormat="1">
      <alignment horizontal="center" vertical="bottom"/>
    </xf>
    <xf borderId="16" fillId="47" fontId="15" numFmtId="4" xfId="0" applyAlignment="1" applyBorder="1" applyFont="1" applyNumberFormat="1">
      <alignment horizontal="center" vertical="bottom"/>
    </xf>
    <xf borderId="16" fillId="6" fontId="15" numFmtId="166" xfId="0" applyAlignment="1" applyBorder="1" applyFont="1" applyNumberFormat="1">
      <alignment horizontal="center" vertical="bottom"/>
    </xf>
    <xf borderId="19" fillId="24" fontId="12" numFmtId="164" xfId="0" applyAlignment="1" applyBorder="1" applyFont="1" applyNumberFormat="1">
      <alignment horizontal="right" shrinkToFit="0" vertical="center" wrapText="0"/>
    </xf>
    <xf borderId="20" fillId="24" fontId="14" numFmtId="164" xfId="0" applyAlignment="1" applyBorder="1" applyFont="1" applyNumberFormat="1">
      <alignment horizontal="center" shrinkToFit="0" vertical="center" wrapText="0"/>
    </xf>
    <xf borderId="21" fillId="24" fontId="12" numFmtId="164" xfId="0" applyAlignment="1" applyBorder="1" applyFont="1" applyNumberFormat="1">
      <alignment horizontal="center" shrinkToFit="0" vertical="center" wrapText="0"/>
    </xf>
    <xf borderId="21" fillId="24" fontId="14" numFmtId="164" xfId="0" applyAlignment="1" applyBorder="1" applyFont="1" applyNumberFormat="1">
      <alignment horizontal="center" shrinkToFit="0" vertical="center" wrapText="0"/>
    </xf>
    <xf borderId="22" fillId="24" fontId="14" numFmtId="164" xfId="0" applyAlignment="1" applyBorder="1" applyFont="1" applyNumberFormat="1">
      <alignment horizontal="center" shrinkToFit="0" vertical="center" wrapText="0"/>
    </xf>
    <xf borderId="23" fillId="24" fontId="14" numFmtId="164" xfId="0" applyAlignment="1" applyBorder="1" applyFont="1" applyNumberFormat="1">
      <alignment horizontal="center" shrinkToFit="0" vertical="center" wrapText="0"/>
    </xf>
    <xf borderId="24" fillId="24" fontId="14" numFmtId="164" xfId="0" applyAlignment="1" applyBorder="1" applyFont="1" applyNumberFormat="1">
      <alignment horizontal="center" shrinkToFit="0" vertical="center" wrapText="0"/>
    </xf>
    <xf borderId="19" fillId="24" fontId="14" numFmtId="164" xfId="0" applyAlignment="1" applyBorder="1" applyFont="1" applyNumberFormat="1">
      <alignment horizontal="center" shrinkToFit="0" vertical="center" wrapText="0"/>
    </xf>
    <xf borderId="23" fillId="24" fontId="12" numFmtId="164" xfId="0" applyAlignment="1" applyBorder="1" applyFont="1" applyNumberFormat="1">
      <alignment horizontal="center" shrinkToFit="0" vertical="center" wrapText="0"/>
    </xf>
    <xf borderId="0" fillId="0" fontId="15" numFmtId="0" xfId="0" applyFont="1"/>
    <xf borderId="12" fillId="9" fontId="1" numFmtId="0" xfId="0" applyAlignment="1" applyBorder="1" applyFont="1">
      <alignment horizontal="center" shrinkToFit="0" vertical="center" wrapText="1"/>
    </xf>
    <xf borderId="12" fillId="28" fontId="17" numFmtId="0" xfId="0" applyBorder="1" applyFont="1"/>
    <xf borderId="12" fillId="28" fontId="3" numFmtId="168" xfId="0" applyAlignment="1" applyBorder="1" applyFont="1" applyNumberFormat="1">
      <alignment horizontal="center" vertical="center"/>
    </xf>
    <xf borderId="12" fillId="27" fontId="2" numFmtId="167" xfId="0" applyAlignment="1" applyBorder="1" applyFont="1" applyNumberFormat="1">
      <alignment horizontal="center" vertical="center"/>
    </xf>
    <xf borderId="12" fillId="30" fontId="2" numFmtId="165" xfId="0" applyAlignment="1" applyBorder="1" applyFont="1" applyNumberFormat="1">
      <alignment horizontal="center" vertical="center"/>
    </xf>
    <xf borderId="12" fillId="31" fontId="2" numFmtId="165" xfId="0" applyAlignment="1" applyBorder="1" applyFont="1" applyNumberFormat="1">
      <alignment horizontal="center" vertical="center"/>
    </xf>
    <xf borderId="12" fillId="27" fontId="2" numFmtId="168" xfId="0" applyAlignment="1" applyBorder="1" applyFont="1" applyNumberFormat="1">
      <alignment horizontal="center" vertical="center"/>
    </xf>
    <xf borderId="12" fillId="33" fontId="2" numFmtId="166" xfId="0" applyAlignment="1" applyBorder="1" applyFont="1" applyNumberFormat="1">
      <alignment horizontal="center" vertical="center"/>
    </xf>
    <xf borderId="12" fillId="27" fontId="2" numFmtId="164" xfId="0" applyAlignment="1" applyBorder="1" applyFont="1" applyNumberFormat="1">
      <alignment horizontal="center" vertical="center"/>
    </xf>
    <xf borderId="12" fillId="32" fontId="2" numFmtId="4" xfId="0" applyAlignment="1" applyBorder="1" applyFont="1" applyNumberFormat="1">
      <alignment horizontal="center" vertical="center"/>
    </xf>
    <xf borderId="12" fillId="3" fontId="2" numFmtId="167" xfId="0" applyAlignment="1" applyBorder="1" applyFont="1" applyNumberFormat="1">
      <alignment horizontal="center" vertical="center"/>
    </xf>
    <xf borderId="12" fillId="34" fontId="2" numFmtId="165" xfId="0" applyAlignment="1" applyBorder="1" applyFont="1" applyNumberFormat="1">
      <alignment horizontal="center" vertical="center"/>
    </xf>
    <xf borderId="12" fillId="3" fontId="2" numFmtId="165" xfId="0" applyAlignment="1" applyBorder="1" applyFont="1" applyNumberFormat="1">
      <alignment horizontal="center" vertical="center"/>
    </xf>
    <xf borderId="12" fillId="28" fontId="2" numFmtId="168" xfId="0" applyAlignment="1" applyBorder="1" applyFont="1" applyNumberFormat="1">
      <alignment horizontal="center" vertical="center"/>
    </xf>
    <xf borderId="12" fillId="37" fontId="2" numFmtId="166" xfId="0" applyAlignment="1" applyBorder="1" applyFont="1" applyNumberFormat="1">
      <alignment horizontal="center" vertical="center"/>
    </xf>
    <xf borderId="12" fillId="35" fontId="2" numFmtId="164" xfId="0" applyAlignment="1" applyBorder="1" applyFont="1" applyNumberFormat="1">
      <alignment horizontal="center" vertical="center"/>
    </xf>
    <xf borderId="12" fillId="36" fontId="2" numFmtId="4" xfId="0" applyAlignment="1" applyBorder="1" applyFont="1" applyNumberFormat="1">
      <alignment horizontal="center" vertical="center"/>
    </xf>
    <xf borderId="12" fillId="38" fontId="2" numFmtId="165" xfId="0" applyAlignment="1" applyBorder="1" applyFont="1" applyNumberFormat="1">
      <alignment horizontal="center" vertical="center"/>
    </xf>
    <xf borderId="12" fillId="30" fontId="2" numFmtId="168" xfId="0" applyAlignment="1" applyBorder="1" applyFont="1" applyNumberFormat="1">
      <alignment horizontal="center" vertical="center"/>
    </xf>
    <xf borderId="12" fillId="41" fontId="2" numFmtId="166" xfId="0" applyAlignment="1" applyBorder="1" applyFont="1" applyNumberFormat="1">
      <alignment horizontal="center" vertical="center"/>
    </xf>
    <xf borderId="12" fillId="39" fontId="2" numFmtId="164" xfId="0" applyAlignment="1" applyBorder="1" applyFont="1" applyNumberFormat="1">
      <alignment horizontal="center" vertical="center"/>
    </xf>
    <xf borderId="12" fillId="40" fontId="2" numFmtId="4" xfId="0" applyAlignment="1" applyBorder="1" applyFont="1" applyNumberFormat="1">
      <alignment horizontal="center" vertical="center"/>
    </xf>
    <xf borderId="12" fillId="42" fontId="2" numFmtId="167" xfId="0" applyAlignment="1" applyBorder="1" applyFont="1" applyNumberFormat="1">
      <alignment horizontal="center" vertical="center"/>
    </xf>
    <xf borderId="12" fillId="27" fontId="2" numFmtId="165" xfId="0" applyAlignment="1" applyBorder="1" applyFont="1" applyNumberFormat="1">
      <alignment horizontal="center" vertical="center"/>
    </xf>
    <xf borderId="12" fillId="43" fontId="2" numFmtId="165" xfId="0" applyAlignment="1" applyBorder="1" applyFont="1" applyNumberFormat="1">
      <alignment horizontal="center" vertical="center"/>
    </xf>
    <xf borderId="12" fillId="34" fontId="2" numFmtId="164" xfId="0" applyAlignment="1" applyBorder="1" applyFont="1" applyNumberFormat="1">
      <alignment horizontal="center" vertical="center"/>
    </xf>
    <xf borderId="12" fillId="44" fontId="2" numFmtId="4" xfId="0" applyAlignment="1" applyBorder="1" applyFont="1" applyNumberFormat="1">
      <alignment horizontal="center" vertical="center"/>
    </xf>
    <xf borderId="12" fillId="45" fontId="2" numFmtId="167" xfId="0" applyAlignment="1" applyBorder="1" applyFont="1" applyNumberFormat="1">
      <alignment horizontal="center" vertical="center"/>
    </xf>
    <xf borderId="12" fillId="37" fontId="2" numFmtId="168" xfId="0" applyAlignment="1" applyBorder="1" applyFont="1" applyNumberFormat="1">
      <alignment horizontal="center" vertical="center"/>
    </xf>
    <xf borderId="12" fillId="46" fontId="2" numFmtId="164" xfId="0" applyAlignment="1" applyBorder="1" applyFont="1" applyNumberFormat="1">
      <alignment horizontal="center" vertical="center"/>
    </xf>
    <xf borderId="12" fillId="47" fontId="2" numFmtId="4" xfId="0" applyAlignment="1" applyBorder="1" applyFont="1" applyNumberFormat="1">
      <alignment horizontal="center" vertical="center"/>
    </xf>
    <xf borderId="12" fillId="9" fontId="1" numFmtId="0" xfId="0" applyBorder="1" applyFont="1"/>
    <xf borderId="12" fillId="9" fontId="18" numFmtId="168" xfId="0" applyAlignment="1" applyBorder="1" applyFont="1" applyNumberFormat="1">
      <alignment horizontal="center" vertical="center"/>
    </xf>
    <xf borderId="12" fillId="48" fontId="19" numFmtId="167" xfId="0" applyAlignment="1" applyBorder="1" applyFont="1" applyNumberFormat="1">
      <alignment horizontal="center" vertical="center"/>
    </xf>
    <xf borderId="12" fillId="3" fontId="19" numFmtId="167" xfId="0" applyAlignment="1" applyBorder="1" applyFont="1" applyNumberFormat="1">
      <alignment horizontal="center" vertical="center"/>
    </xf>
    <xf borderId="12" fillId="46" fontId="19" numFmtId="165" xfId="0" applyAlignment="1" applyBorder="1" applyFont="1" applyNumberFormat="1">
      <alignment horizontal="center" vertical="center"/>
    </xf>
    <xf borderId="12" fillId="33" fontId="19" numFmtId="165" xfId="0" applyAlignment="1" applyBorder="1" applyFont="1" applyNumberFormat="1">
      <alignment horizontal="center" vertical="center"/>
    </xf>
    <xf borderId="12" fillId="44" fontId="19" numFmtId="168" xfId="0" applyAlignment="1" applyBorder="1" applyFont="1" applyNumberFormat="1">
      <alignment horizontal="center" vertical="center"/>
    </xf>
    <xf borderId="12" fillId="6" fontId="19" numFmtId="166" xfId="0" applyAlignment="1" applyBorder="1" applyFont="1" applyNumberFormat="1">
      <alignment horizontal="center" vertical="center"/>
    </xf>
    <xf borderId="12" fillId="39" fontId="19" numFmtId="164" xfId="0" applyAlignment="1" applyBorder="1" applyFont="1" applyNumberFormat="1">
      <alignment horizontal="center" vertical="center"/>
    </xf>
    <xf borderId="12" fillId="47" fontId="19" numFmtId="4" xfId="0" applyAlignment="1" applyBorder="1" applyFont="1" applyNumberFormat="1">
      <alignment horizontal="center" vertical="center"/>
    </xf>
    <xf borderId="0" fillId="0" fontId="17" numFmtId="0" xfId="0" applyFont="1"/>
    <xf borderId="0" fillId="0" fontId="2" numFmtId="0" xfId="0" applyAlignment="1" applyFont="1">
      <alignment horizontal="center" vertical="center"/>
    </xf>
    <xf borderId="0" fillId="0" fontId="17" numFmtId="2" xfId="0" applyAlignment="1" applyFont="1" applyNumberFormat="1">
      <alignment horizontal="center" vertical="center"/>
    </xf>
    <xf borderId="0" fillId="0" fontId="20" numFmtId="0" xfId="0" applyFont="1"/>
    <xf borderId="0" fillId="0" fontId="20" numFmtId="169" xfId="0" applyAlignment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22" numFmtId="0" xfId="0" applyFont="1"/>
    <xf borderId="12" fillId="9" fontId="1" numFmtId="2" xfId="0" applyAlignment="1" applyBorder="1" applyFont="1" applyNumberFormat="1">
      <alignment horizontal="center" shrinkToFit="0" vertical="center" wrapText="1"/>
    </xf>
    <xf borderId="12" fillId="9" fontId="1" numFmtId="165" xfId="0" applyAlignment="1" applyBorder="1" applyFont="1" applyNumberFormat="1">
      <alignment horizontal="center" shrinkToFit="0" vertical="center" wrapText="1"/>
    </xf>
    <xf borderId="25" fillId="9" fontId="1" numFmtId="0" xfId="0" applyAlignment="1" applyBorder="1" applyFont="1">
      <alignment horizontal="center" shrinkToFit="0" vertical="center" wrapText="1"/>
    </xf>
    <xf borderId="12" fillId="9" fontId="1" numFmtId="4" xfId="0" applyAlignment="1" applyBorder="1" applyFont="1" applyNumberFormat="1">
      <alignment horizontal="center" shrinkToFit="0" vertical="center" wrapText="1"/>
    </xf>
    <xf borderId="0" fillId="0" fontId="21" numFmtId="0" xfId="0" applyFont="1"/>
    <xf borderId="12" fillId="0" fontId="2" numFmtId="0" xfId="0" applyBorder="1" applyFont="1"/>
    <xf borderId="26" fillId="29" fontId="2" numFmtId="167" xfId="0" applyAlignment="1" applyBorder="1" applyFont="1" applyNumberFormat="1">
      <alignment horizontal="center"/>
    </xf>
    <xf borderId="27" fillId="29" fontId="3" numFmtId="0" xfId="0" applyAlignment="1" applyBorder="1" applyFont="1">
      <alignment horizontal="center"/>
    </xf>
    <xf borderId="28" fillId="29" fontId="3" numFmtId="2" xfId="0" applyAlignment="1" applyBorder="1" applyFont="1" applyNumberFormat="1">
      <alignment horizontal="center"/>
    </xf>
    <xf borderId="26" fillId="0" fontId="2" numFmtId="167" xfId="0" applyAlignment="1" applyBorder="1" applyFont="1" applyNumberFormat="1">
      <alignment horizontal="center"/>
    </xf>
    <xf borderId="27" fillId="0" fontId="3" numFmtId="0" xfId="0" applyAlignment="1" applyBorder="1" applyFont="1">
      <alignment horizontal="center"/>
    </xf>
    <xf borderId="28" fillId="0" fontId="3" numFmtId="2" xfId="0" applyAlignment="1" applyBorder="1" applyFont="1" applyNumberFormat="1">
      <alignment horizontal="center"/>
    </xf>
    <xf borderId="0" fillId="28" fontId="2" numFmtId="0" xfId="0" applyAlignment="1" applyFont="1">
      <alignment horizontal="center"/>
    </xf>
    <xf borderId="0" fillId="28" fontId="3" numFmtId="0" xfId="0" applyAlignment="1" applyFont="1">
      <alignment horizontal="center"/>
    </xf>
    <xf borderId="26" fillId="29" fontId="2" numFmtId="165" xfId="0" applyAlignment="1" applyBorder="1" applyFont="1" applyNumberFormat="1">
      <alignment horizontal="center"/>
    </xf>
    <xf borderId="28" fillId="29" fontId="3" numFmtId="0" xfId="0" applyAlignment="1" applyBorder="1" applyFont="1">
      <alignment horizontal="center"/>
    </xf>
    <xf borderId="26" fillId="0" fontId="2" numFmtId="165" xfId="0" applyAlignment="1" applyBorder="1" applyFont="1" applyNumberFormat="1">
      <alignment horizontal="center"/>
    </xf>
    <xf borderId="28" fillId="0" fontId="3" numFmtId="0" xfId="0" applyAlignment="1" applyBorder="1" applyFont="1">
      <alignment horizontal="center"/>
    </xf>
    <xf borderId="26" fillId="29" fontId="2" numFmtId="168" xfId="0" applyAlignment="1" applyBorder="1" applyFont="1" applyNumberFormat="1">
      <alignment horizontal="center"/>
    </xf>
    <xf borderId="26" fillId="0" fontId="2" numFmtId="168" xfId="0" applyAlignment="1" applyBorder="1" applyFont="1" applyNumberFormat="1">
      <alignment horizontal="center"/>
    </xf>
    <xf borderId="26" fillId="29" fontId="2" numFmtId="164" xfId="0" applyAlignment="1" applyBorder="1" applyFont="1" applyNumberFormat="1">
      <alignment horizontal="center"/>
    </xf>
    <xf borderId="27" fillId="28" fontId="3" numFmtId="2" xfId="0" applyAlignment="1" applyBorder="1" applyFont="1" applyNumberFormat="1">
      <alignment horizontal="center"/>
    </xf>
    <xf borderId="27" fillId="28" fontId="3" numFmtId="0" xfId="0" applyAlignment="1" applyBorder="1" applyFont="1">
      <alignment horizontal="center"/>
    </xf>
    <xf borderId="26" fillId="29" fontId="2" numFmtId="166" xfId="0" applyAlignment="1" applyBorder="1" applyFont="1" applyNumberFormat="1">
      <alignment horizontal="center"/>
    </xf>
    <xf borderId="26" fillId="28" fontId="2" numFmtId="0" xfId="0" applyAlignment="1" applyBorder="1" applyFont="1">
      <alignment horizontal="center"/>
    </xf>
    <xf borderId="26" fillId="29" fontId="2" numFmtId="0" xfId="0" applyAlignment="1" applyBorder="1" applyFont="1">
      <alignment horizontal="center"/>
    </xf>
    <xf borderId="26" fillId="0" fontId="2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12" fillId="0" fontId="3" numFmtId="2" xfId="0" applyAlignment="1" applyBorder="1" applyFont="1" applyNumberFormat="1">
      <alignment horizontal="center"/>
    </xf>
    <xf borderId="0" fillId="0" fontId="21" numFmtId="9" xfId="0" applyFont="1" applyNumberFormat="1"/>
    <xf borderId="0" fillId="0" fontId="21" numFmtId="169" xfId="0" applyFont="1" applyNumberFormat="1"/>
    <xf borderId="13" fillId="29" fontId="2" numFmtId="167" xfId="0" applyAlignment="1" applyBorder="1" applyFont="1" applyNumberFormat="1">
      <alignment horizontal="center"/>
    </xf>
    <xf borderId="0" fillId="29" fontId="3" numFmtId="0" xfId="0" applyAlignment="1" applyFont="1">
      <alignment horizontal="center"/>
    </xf>
    <xf borderId="14" fillId="29" fontId="3" numFmtId="2" xfId="0" applyAlignment="1" applyBorder="1" applyFont="1" applyNumberFormat="1">
      <alignment horizontal="center"/>
    </xf>
    <xf borderId="13" fillId="0" fontId="2" numFmtId="167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4" fillId="0" fontId="3" numFmtId="2" xfId="0" applyAlignment="1" applyBorder="1" applyFont="1" applyNumberFormat="1">
      <alignment horizontal="center"/>
    </xf>
    <xf borderId="13" fillId="29" fontId="2" numFmtId="165" xfId="0" applyAlignment="1" applyBorder="1" applyFont="1" applyNumberFormat="1">
      <alignment horizontal="center"/>
    </xf>
    <xf borderId="13" fillId="0" fontId="2" numFmtId="165" xfId="0" applyAlignment="1" applyBorder="1" applyFont="1" applyNumberFormat="1">
      <alignment horizontal="center"/>
    </xf>
    <xf borderId="13" fillId="29" fontId="2" numFmtId="168" xfId="0" applyAlignment="1" applyBorder="1" applyFont="1" applyNumberFormat="1">
      <alignment horizontal="center"/>
    </xf>
    <xf borderId="13" fillId="0" fontId="2" numFmtId="168" xfId="0" applyAlignment="1" applyBorder="1" applyFont="1" applyNumberFormat="1">
      <alignment horizontal="center"/>
    </xf>
    <xf borderId="13" fillId="29" fontId="2" numFmtId="164" xfId="0" applyAlignment="1" applyBorder="1" applyFont="1" applyNumberFormat="1">
      <alignment horizontal="center"/>
    </xf>
    <xf borderId="14" fillId="29" fontId="3" numFmtId="0" xfId="0" applyAlignment="1" applyBorder="1" applyFont="1">
      <alignment horizontal="center"/>
    </xf>
    <xf borderId="0" fillId="28" fontId="3" numFmtId="2" xfId="0" applyAlignment="1" applyFont="1" applyNumberFormat="1">
      <alignment horizontal="center"/>
    </xf>
    <xf borderId="13" fillId="29" fontId="2" numFmtId="166" xfId="0" applyAlignment="1" applyBorder="1" applyFont="1" applyNumberFormat="1">
      <alignment horizontal="center"/>
    </xf>
    <xf borderId="13" fillId="28" fontId="2" numFmtId="0" xfId="0" applyAlignment="1" applyBorder="1" applyFont="1">
      <alignment horizontal="center"/>
    </xf>
    <xf borderId="13" fillId="29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29" fillId="0" fontId="2" numFmtId="0" xfId="0" applyAlignment="1" applyBorder="1" applyFont="1">
      <alignment horizontal="center"/>
    </xf>
    <xf borderId="20" fillId="29" fontId="2" numFmtId="167" xfId="0" applyAlignment="1" applyBorder="1" applyFont="1" applyNumberFormat="1">
      <alignment horizontal="center"/>
    </xf>
    <xf borderId="21" fillId="29" fontId="3" numFmtId="0" xfId="0" applyAlignment="1" applyBorder="1" applyFont="1">
      <alignment horizontal="center"/>
    </xf>
    <xf borderId="22" fillId="29" fontId="3" numFmtId="2" xfId="0" applyAlignment="1" applyBorder="1" applyFont="1" applyNumberFormat="1">
      <alignment horizontal="center"/>
    </xf>
    <xf borderId="20" fillId="0" fontId="2" numFmtId="167" xfId="0" applyAlignment="1" applyBorder="1" applyFont="1" applyNumberFormat="1">
      <alignment horizontal="center"/>
    </xf>
    <xf borderId="21" fillId="0" fontId="3" numFmtId="0" xfId="0" applyAlignment="1" applyBorder="1" applyFont="1">
      <alignment horizontal="center"/>
    </xf>
    <xf borderId="22" fillId="0" fontId="3" numFmtId="2" xfId="0" applyAlignment="1" applyBorder="1" applyFont="1" applyNumberFormat="1">
      <alignment horizontal="center"/>
    </xf>
    <xf borderId="20" fillId="29" fontId="2" numFmtId="165" xfId="0" applyAlignment="1" applyBorder="1" applyFont="1" applyNumberFormat="1">
      <alignment horizontal="center"/>
    </xf>
    <xf borderId="20" fillId="0" fontId="2" numFmtId="165" xfId="0" applyAlignment="1" applyBorder="1" applyFont="1" applyNumberFormat="1">
      <alignment horizontal="center"/>
    </xf>
    <xf borderId="20" fillId="29" fontId="2" numFmtId="168" xfId="0" applyAlignment="1" applyBorder="1" applyFont="1" applyNumberFormat="1">
      <alignment horizontal="center"/>
    </xf>
    <xf borderId="20" fillId="0" fontId="2" numFmtId="168" xfId="0" applyAlignment="1" applyBorder="1" applyFont="1" applyNumberFormat="1">
      <alignment horizontal="center"/>
    </xf>
    <xf borderId="20" fillId="29" fontId="2" numFmtId="164" xfId="0" applyAlignment="1" applyBorder="1" applyFont="1" applyNumberFormat="1">
      <alignment horizontal="center"/>
    </xf>
    <xf borderId="22" fillId="29" fontId="3" numFmtId="0" xfId="0" applyAlignment="1" applyBorder="1" applyFont="1">
      <alignment horizontal="center"/>
    </xf>
    <xf borderId="21" fillId="28" fontId="3" numFmtId="2" xfId="0" applyAlignment="1" applyBorder="1" applyFont="1" applyNumberFormat="1">
      <alignment horizontal="center"/>
    </xf>
    <xf borderId="21" fillId="28" fontId="3" numFmtId="0" xfId="0" applyAlignment="1" applyBorder="1" applyFont="1">
      <alignment horizontal="center"/>
    </xf>
    <xf borderId="20" fillId="29" fontId="2" numFmtId="166" xfId="0" applyAlignment="1" applyBorder="1" applyFont="1" applyNumberFormat="1">
      <alignment horizontal="center"/>
    </xf>
    <xf borderId="20" fillId="28" fontId="2" numFmtId="0" xfId="0" applyAlignment="1" applyBorder="1" applyFont="1">
      <alignment horizontal="center"/>
    </xf>
    <xf borderId="20" fillId="29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2" fillId="0" fontId="3" numFmtId="0" xfId="0" applyAlignment="1" applyBorder="1" applyFont="1">
      <alignment horizontal="center"/>
    </xf>
    <xf borderId="30" fillId="0" fontId="2" numFmtId="0" xfId="0" applyAlignment="1" applyBorder="1" applyFont="1">
      <alignment horizontal="center"/>
    </xf>
    <xf borderId="0" fillId="0" fontId="21" numFmtId="2" xfId="0" applyFont="1" applyNumberFormat="1"/>
    <xf borderId="0" fillId="0" fontId="21" numFmtId="165" xfId="0" applyFont="1" applyNumberFormat="1"/>
    <xf borderId="0" fillId="0" fontId="21" numFmtId="0" xfId="0" applyAlignment="1" applyFont="1">
      <alignment horizontal="center"/>
    </xf>
    <xf borderId="0" fillId="0" fontId="21" numFmtId="4" xfId="0" applyFont="1" applyNumberFormat="1"/>
    <xf borderId="0" fillId="0" fontId="21" numFmtId="164" xfId="0" applyFont="1" applyNumberFormat="1"/>
    <xf borderId="0" fillId="0" fontId="23" numFmtId="0" xfId="0" applyAlignment="1" applyFont="1">
      <alignment shrinkToFit="0" vertical="bottom" wrapText="0"/>
    </xf>
    <xf borderId="0" fillId="0" fontId="23" numFmtId="2" xfId="0" applyAlignment="1" applyFont="1" applyNumberFormat="1">
      <alignment shrinkToFit="0" vertical="bottom" wrapText="0"/>
    </xf>
    <xf borderId="0" fillId="0" fontId="23" numFmtId="165" xfId="0" applyAlignment="1" applyFont="1" applyNumberFormat="1">
      <alignment shrinkToFit="0" vertical="bottom" wrapText="0"/>
    </xf>
    <xf borderId="0" fillId="0" fontId="23" numFmtId="4" xfId="0" applyAlignment="1" applyFont="1" applyNumberFormat="1">
      <alignment shrinkToFit="0" vertical="bottom" wrapText="0"/>
    </xf>
    <xf borderId="7" fillId="10" fontId="24" numFmtId="0" xfId="0" applyAlignment="1" applyBorder="1" applyFont="1">
      <alignment horizontal="center" shrinkToFit="0" vertical="center" wrapText="1"/>
    </xf>
    <xf borderId="7" fillId="15" fontId="24" numFmtId="0" xfId="0" applyAlignment="1" applyBorder="1" applyFont="1">
      <alignment horizontal="center" shrinkToFit="0" vertical="center" wrapText="1"/>
    </xf>
    <xf borderId="7" fillId="19" fontId="24" numFmtId="0" xfId="0" applyAlignment="1" applyBorder="1" applyFont="1">
      <alignment horizontal="center" shrinkToFit="0" vertical="center" wrapText="1"/>
    </xf>
    <xf borderId="7" fillId="20" fontId="24" numFmtId="0" xfId="0" applyAlignment="1" applyBorder="1" applyFont="1">
      <alignment horizontal="center" shrinkToFit="0" vertical="center" wrapText="1"/>
    </xf>
    <xf borderId="9" fillId="22" fontId="24" numFmtId="0" xfId="0" applyAlignment="1" applyBorder="1" applyFont="1">
      <alignment horizontal="center" shrinkToFit="0" vertical="center" wrapText="1"/>
    </xf>
    <xf borderId="12" fillId="25" fontId="24" numFmtId="0" xfId="0" applyAlignment="1" applyBorder="1" applyFont="1">
      <alignment horizontal="center" shrinkToFit="0" vertical="center" wrapText="0"/>
    </xf>
    <xf borderId="12" fillId="26" fontId="24" numFmtId="0" xfId="0" applyAlignment="1" applyBorder="1" applyFont="1">
      <alignment horizontal="center" shrinkToFit="0" vertical="center" wrapText="0"/>
    </xf>
    <xf borderId="12" fillId="14" fontId="24" numFmtId="0" xfId="0" applyAlignment="1" applyBorder="1" applyFont="1">
      <alignment horizontal="center" shrinkToFit="0" vertical="center" wrapText="0"/>
    </xf>
    <xf borderId="13" fillId="29" fontId="3" numFmtId="167" xfId="0" applyAlignment="1" applyBorder="1" applyFont="1" applyNumberFormat="1">
      <alignment horizontal="center" vertical="bottom"/>
    </xf>
    <xf borderId="0" fillId="26" fontId="14" numFmtId="168" xfId="0" applyAlignment="1" applyFont="1" applyNumberFormat="1">
      <alignment horizontal="center" shrinkToFit="0" vertical="center" wrapText="0"/>
    </xf>
    <xf borderId="13" fillId="0" fontId="3" numFmtId="167" xfId="0" applyAlignment="1" applyBorder="1" applyFont="1" applyNumberFormat="1">
      <alignment horizontal="center" vertical="bottom"/>
    </xf>
    <xf borderId="13" fillId="49" fontId="3" numFmtId="167" xfId="0" applyAlignment="1" applyBorder="1" applyFill="1" applyFont="1" applyNumberFormat="1">
      <alignment horizontal="center" vertical="bottom"/>
    </xf>
    <xf borderId="13" fillId="0" fontId="3" numFmtId="165" xfId="0" applyAlignment="1" applyBorder="1" applyFont="1" applyNumberFormat="1">
      <alignment horizontal="center" vertical="bottom"/>
    </xf>
    <xf borderId="13" fillId="29" fontId="3" numFmtId="165" xfId="0" applyAlignment="1" applyBorder="1" applyFont="1" applyNumberFormat="1">
      <alignment horizontal="center" vertical="bottom"/>
    </xf>
    <xf borderId="13" fillId="0" fontId="3" numFmtId="168" xfId="0" applyAlignment="1" applyBorder="1" applyFont="1" applyNumberFormat="1">
      <alignment horizontal="center" vertical="bottom"/>
    </xf>
    <xf borderId="13" fillId="0" fontId="3" numFmtId="164" xfId="0" applyAlignment="1" applyBorder="1" applyFont="1" applyNumberFormat="1">
      <alignment horizontal="center" vertical="bottom"/>
    </xf>
    <xf borderId="13" fillId="29" fontId="3" numFmtId="4" xfId="0" applyAlignment="1" applyBorder="1" applyFont="1" applyNumberFormat="1">
      <alignment horizontal="center" vertical="bottom"/>
    </xf>
    <xf borderId="13" fillId="0" fontId="3" numFmtId="166" xfId="0" applyAlignment="1" applyBorder="1" applyFont="1" applyNumberFormat="1">
      <alignment horizontal="center" vertical="bottom"/>
    </xf>
    <xf borderId="13" fillId="29" fontId="3" numFmtId="1" xfId="0" applyAlignment="1" applyBorder="1" applyFont="1" applyNumberFormat="1">
      <alignment horizontal="center" vertical="bottom"/>
    </xf>
    <xf borderId="13" fillId="0" fontId="3" numFmtId="1" xfId="0" applyAlignment="1" applyBorder="1" applyFont="1" applyNumberFormat="1">
      <alignment horizontal="center" vertical="bottom"/>
    </xf>
    <xf borderId="29" fillId="0" fontId="3" numFmtId="9" xfId="0" applyAlignment="1" applyBorder="1" applyFont="1" applyNumberFormat="1">
      <alignment horizontal="center" vertical="bottom"/>
    </xf>
    <xf borderId="31" fillId="21" fontId="6" numFmtId="2" xfId="0" applyAlignment="1" applyBorder="1" applyFont="1" applyNumberFormat="1">
      <alignment horizontal="center"/>
    </xf>
    <xf borderId="32" fillId="21" fontId="6" numFmtId="2" xfId="0" applyAlignment="1" applyBorder="1" applyFont="1" applyNumberFormat="1">
      <alignment horizontal="center"/>
    </xf>
    <xf borderId="33" fillId="21" fontId="6" numFmtId="2" xfId="0" applyAlignment="1" applyBorder="1" applyFont="1" applyNumberFormat="1">
      <alignment horizontal="center"/>
    </xf>
    <xf borderId="16" fillId="29" fontId="3" numFmtId="167" xfId="0" applyAlignment="1" applyBorder="1" applyFont="1" applyNumberFormat="1">
      <alignment horizontal="center" vertical="bottom"/>
    </xf>
    <xf borderId="17" fillId="26" fontId="14" numFmtId="168" xfId="0" applyAlignment="1" applyBorder="1" applyFont="1" applyNumberFormat="1">
      <alignment horizontal="center" shrinkToFit="0" vertical="center" wrapText="0"/>
    </xf>
    <xf borderId="16" fillId="0" fontId="3" numFmtId="167" xfId="0" applyAlignment="1" applyBorder="1" applyFont="1" applyNumberFormat="1">
      <alignment horizontal="center" vertical="bottom"/>
    </xf>
    <xf borderId="16" fillId="49" fontId="3" numFmtId="167" xfId="0" applyAlignment="1" applyBorder="1" applyFont="1" applyNumberFormat="1">
      <alignment horizontal="center" vertical="bottom"/>
    </xf>
    <xf borderId="16" fillId="0" fontId="3" numFmtId="165" xfId="0" applyAlignment="1" applyBorder="1" applyFont="1" applyNumberFormat="1">
      <alignment horizontal="center" vertical="bottom"/>
    </xf>
    <xf borderId="16" fillId="29" fontId="3" numFmtId="165" xfId="0" applyAlignment="1" applyBorder="1" applyFont="1" applyNumberFormat="1">
      <alignment horizontal="center" vertical="bottom"/>
    </xf>
    <xf borderId="16" fillId="0" fontId="3" numFmtId="168" xfId="0" applyAlignment="1" applyBorder="1" applyFont="1" applyNumberFormat="1">
      <alignment horizontal="center" vertical="bottom"/>
    </xf>
    <xf borderId="16" fillId="0" fontId="3" numFmtId="164" xfId="0" applyAlignment="1" applyBorder="1" applyFont="1" applyNumberFormat="1">
      <alignment horizontal="center" vertical="bottom"/>
    </xf>
    <xf borderId="16" fillId="29" fontId="3" numFmtId="4" xfId="0" applyAlignment="1" applyBorder="1" applyFont="1" applyNumberFormat="1">
      <alignment horizontal="center" vertical="bottom"/>
    </xf>
    <xf borderId="16" fillId="0" fontId="3" numFmtId="166" xfId="0" applyAlignment="1" applyBorder="1" applyFont="1" applyNumberFormat="1">
      <alignment horizontal="center" vertical="bottom"/>
    </xf>
    <xf borderId="16" fillId="29" fontId="3" numFmtId="1" xfId="0" applyAlignment="1" applyBorder="1" applyFont="1" applyNumberFormat="1">
      <alignment horizontal="center" vertical="bottom"/>
    </xf>
    <xf borderId="12" fillId="0" fontId="3" numFmtId="9" xfId="0" applyAlignment="1" applyBorder="1" applyFont="1" applyNumberFormat="1">
      <alignment horizontal="center" vertical="bottom"/>
    </xf>
    <xf borderId="18" fillId="21" fontId="6" numFmtId="2" xfId="0" applyAlignment="1" applyBorder="1" applyFont="1" applyNumberFormat="1">
      <alignment horizontal="center"/>
    </xf>
    <xf borderId="21" fillId="24" fontId="25" numFmtId="164" xfId="0" applyAlignment="1" applyBorder="1" applyFont="1" applyNumberFormat="1">
      <alignment horizontal="center" shrinkToFit="0" vertical="center" wrapText="0"/>
    </xf>
    <xf borderId="30" fillId="24" fontId="14" numFmtId="164" xfId="0" applyAlignment="1" applyBorder="1" applyFont="1" applyNumberFormat="1">
      <alignment horizontal="center" shrinkToFit="0" vertical="center" wrapText="0"/>
    </xf>
    <xf borderId="12" fillId="9" fontId="26" numFmtId="0" xfId="0" applyAlignment="1" applyBorder="1" applyFont="1">
      <alignment horizontal="center" shrinkToFit="0" vertical="center" wrapText="1"/>
    </xf>
    <xf borderId="12" fillId="9" fontId="26" numFmtId="2" xfId="0" applyAlignment="1" applyBorder="1" applyFont="1" applyNumberFormat="1">
      <alignment horizontal="center" shrinkToFit="0" vertical="center" wrapText="1"/>
    </xf>
    <xf borderId="12" fillId="9" fontId="26" numFmtId="165" xfId="0" applyAlignment="1" applyBorder="1" applyFont="1" applyNumberFormat="1">
      <alignment horizontal="center" shrinkToFit="0" vertical="center" wrapText="1"/>
    </xf>
    <xf borderId="12" fillId="9" fontId="26" numFmtId="4" xfId="0" applyAlignment="1" applyBorder="1" applyFont="1" applyNumberFormat="1">
      <alignment horizontal="center" shrinkToFit="0" vertical="center" wrapText="1"/>
    </xf>
    <xf borderId="12" fillId="0" fontId="27" numFmtId="0" xfId="0" applyBorder="1" applyFont="1"/>
    <xf borderId="26" fillId="29" fontId="21" numFmtId="167" xfId="0" applyAlignment="1" applyBorder="1" applyFont="1" applyNumberFormat="1">
      <alignment horizontal="center"/>
    </xf>
    <xf borderId="27" fillId="29" fontId="28" numFmtId="0" xfId="0" applyAlignment="1" applyBorder="1" applyFont="1">
      <alignment horizontal="center"/>
    </xf>
    <xf borderId="28" fillId="29" fontId="28" numFmtId="2" xfId="0" applyAlignment="1" applyBorder="1" applyFont="1" applyNumberFormat="1">
      <alignment horizontal="center"/>
    </xf>
    <xf borderId="26" fillId="0" fontId="21" numFmtId="167" xfId="0" applyAlignment="1" applyBorder="1" applyFont="1" applyNumberFormat="1">
      <alignment horizontal="center"/>
    </xf>
    <xf borderId="27" fillId="0" fontId="28" numFmtId="0" xfId="0" applyAlignment="1" applyBorder="1" applyFont="1">
      <alignment horizontal="center"/>
    </xf>
    <xf borderId="28" fillId="0" fontId="28" numFmtId="2" xfId="0" applyAlignment="1" applyBorder="1" applyFont="1" applyNumberFormat="1">
      <alignment horizontal="center"/>
    </xf>
    <xf borderId="26" fillId="49" fontId="21" numFmtId="167" xfId="0" applyAlignment="1" applyBorder="1" applyFont="1" applyNumberFormat="1">
      <alignment horizontal="center"/>
    </xf>
    <xf borderId="27" fillId="49" fontId="28" numFmtId="0" xfId="0" applyAlignment="1" applyBorder="1" applyFont="1">
      <alignment horizontal="center"/>
    </xf>
    <xf borderId="28" fillId="49" fontId="28" numFmtId="0" xfId="0" applyAlignment="1" applyBorder="1" applyFont="1">
      <alignment horizontal="center"/>
    </xf>
    <xf borderId="26" fillId="0" fontId="21" numFmtId="165" xfId="0" applyAlignment="1" applyBorder="1" applyFont="1" applyNumberFormat="1">
      <alignment horizontal="center"/>
    </xf>
    <xf borderId="28" fillId="0" fontId="28" numFmtId="0" xfId="0" applyAlignment="1" applyBorder="1" applyFont="1">
      <alignment horizontal="center"/>
    </xf>
    <xf borderId="26" fillId="29" fontId="21" numFmtId="165" xfId="0" applyAlignment="1" applyBorder="1" applyFont="1" applyNumberFormat="1">
      <alignment horizontal="center"/>
    </xf>
    <xf borderId="28" fillId="29" fontId="28" numFmtId="0" xfId="0" applyAlignment="1" applyBorder="1" applyFont="1">
      <alignment horizontal="center"/>
    </xf>
    <xf borderId="26" fillId="0" fontId="21" numFmtId="0" xfId="0" applyAlignment="1" applyBorder="1" applyFont="1">
      <alignment horizontal="center"/>
    </xf>
    <xf borderId="26" fillId="29" fontId="21" numFmtId="0" xfId="0" applyAlignment="1" applyBorder="1" applyFont="1">
      <alignment horizontal="center"/>
    </xf>
    <xf borderId="26" fillId="0" fontId="21" numFmtId="164" xfId="0" applyAlignment="1" applyBorder="1" applyFont="1" applyNumberFormat="1">
      <alignment horizontal="center"/>
    </xf>
    <xf borderId="26" fillId="29" fontId="21" numFmtId="4" xfId="0" applyAlignment="1" applyBorder="1" applyFont="1" applyNumberFormat="1">
      <alignment horizontal="center"/>
    </xf>
    <xf borderId="26" fillId="0" fontId="21" numFmtId="166" xfId="0" applyAlignment="1" applyBorder="1" applyFont="1" applyNumberFormat="1">
      <alignment horizontal="center"/>
    </xf>
    <xf borderId="26" fillId="29" fontId="28" numFmtId="0" xfId="0" applyAlignment="1" applyBorder="1" applyFont="1">
      <alignment horizontal="center" vertical="bottom"/>
    </xf>
    <xf borderId="26" fillId="0" fontId="28" numFmtId="0" xfId="0" applyAlignment="1" applyBorder="1" applyFont="1">
      <alignment horizontal="center" vertical="bottom"/>
    </xf>
    <xf borderId="25" fillId="0" fontId="28" numFmtId="0" xfId="0" applyAlignment="1" applyBorder="1" applyFont="1">
      <alignment horizontal="center" vertical="bottom"/>
    </xf>
    <xf borderId="12" fillId="0" fontId="28" numFmtId="2" xfId="0" applyAlignment="1" applyBorder="1" applyFont="1" applyNumberFormat="1">
      <alignment horizontal="center"/>
    </xf>
    <xf borderId="13" fillId="29" fontId="21" numFmtId="167" xfId="0" applyAlignment="1" applyBorder="1" applyFont="1" applyNumberFormat="1">
      <alignment horizontal="center"/>
    </xf>
    <xf borderId="0" fillId="29" fontId="28" numFmtId="0" xfId="0" applyAlignment="1" applyFont="1">
      <alignment horizontal="center"/>
    </xf>
    <xf borderId="14" fillId="29" fontId="28" numFmtId="2" xfId="0" applyAlignment="1" applyBorder="1" applyFont="1" applyNumberFormat="1">
      <alignment horizontal="center"/>
    </xf>
    <xf borderId="13" fillId="0" fontId="21" numFmtId="167" xfId="0" applyAlignment="1" applyBorder="1" applyFont="1" applyNumberFormat="1">
      <alignment horizontal="center"/>
    </xf>
    <xf borderId="0" fillId="0" fontId="28" numFmtId="0" xfId="0" applyAlignment="1" applyFont="1">
      <alignment horizontal="center"/>
    </xf>
    <xf borderId="14" fillId="0" fontId="28" numFmtId="2" xfId="0" applyAlignment="1" applyBorder="1" applyFont="1" applyNumberFormat="1">
      <alignment horizontal="center"/>
    </xf>
    <xf borderId="13" fillId="49" fontId="21" numFmtId="167" xfId="0" applyAlignment="1" applyBorder="1" applyFont="1" applyNumberFormat="1">
      <alignment horizontal="center"/>
    </xf>
    <xf borderId="0" fillId="49" fontId="28" numFmtId="0" xfId="0" applyAlignment="1" applyFont="1">
      <alignment horizontal="center"/>
    </xf>
    <xf borderId="14" fillId="49" fontId="28" numFmtId="0" xfId="0" applyAlignment="1" applyBorder="1" applyFont="1">
      <alignment horizontal="center"/>
    </xf>
    <xf borderId="13" fillId="0" fontId="21" numFmtId="165" xfId="0" applyAlignment="1" applyBorder="1" applyFont="1" applyNumberFormat="1">
      <alignment horizontal="center"/>
    </xf>
    <xf borderId="14" fillId="0" fontId="28" numFmtId="0" xfId="0" applyAlignment="1" applyBorder="1" applyFont="1">
      <alignment horizontal="center"/>
    </xf>
    <xf borderId="13" fillId="29" fontId="21" numFmtId="165" xfId="0" applyAlignment="1" applyBorder="1" applyFont="1" applyNumberFormat="1">
      <alignment horizontal="center"/>
    </xf>
    <xf borderId="14" fillId="29" fontId="28" numFmtId="0" xfId="0" applyAlignment="1" applyBorder="1" applyFont="1">
      <alignment horizontal="center"/>
    </xf>
    <xf borderId="13" fillId="0" fontId="21" numFmtId="168" xfId="0" applyAlignment="1" applyBorder="1" applyFont="1" applyNumberFormat="1">
      <alignment horizontal="center"/>
    </xf>
    <xf borderId="13" fillId="29" fontId="21" numFmtId="0" xfId="0" applyAlignment="1" applyBorder="1" applyFont="1">
      <alignment horizontal="center"/>
    </xf>
    <xf borderId="13" fillId="0" fontId="21" numFmtId="164" xfId="0" applyAlignment="1" applyBorder="1" applyFont="1" applyNumberFormat="1">
      <alignment horizontal="center"/>
    </xf>
    <xf borderId="13" fillId="29" fontId="21" numFmtId="4" xfId="0" applyAlignment="1" applyBorder="1" applyFont="1" applyNumberFormat="1">
      <alignment horizontal="center"/>
    </xf>
    <xf borderId="13" fillId="0" fontId="21" numFmtId="166" xfId="0" applyAlignment="1" applyBorder="1" applyFont="1" applyNumberFormat="1">
      <alignment horizontal="center"/>
    </xf>
    <xf borderId="13" fillId="29" fontId="28" numFmtId="0" xfId="0" applyAlignment="1" applyBorder="1" applyFont="1">
      <alignment horizontal="center" vertical="bottom"/>
    </xf>
    <xf borderId="13" fillId="0" fontId="28" numFmtId="0" xfId="0" applyAlignment="1" applyBorder="1" applyFont="1">
      <alignment horizontal="center" vertical="bottom"/>
    </xf>
    <xf borderId="29" fillId="0" fontId="28" numFmtId="0" xfId="0" applyAlignment="1" applyBorder="1" applyFont="1">
      <alignment horizontal="center" vertical="bottom"/>
    </xf>
    <xf borderId="29" fillId="0" fontId="28" numFmtId="3" xfId="0" applyAlignment="1" applyBorder="1" applyFont="1" applyNumberFormat="1">
      <alignment horizontal="center" vertical="bottom"/>
    </xf>
    <xf borderId="20" fillId="29" fontId="21" numFmtId="167" xfId="0" applyAlignment="1" applyBorder="1" applyFont="1" applyNumberFormat="1">
      <alignment horizontal="center"/>
    </xf>
    <xf borderId="21" fillId="29" fontId="28" numFmtId="0" xfId="0" applyAlignment="1" applyBorder="1" applyFont="1">
      <alignment horizontal="center"/>
    </xf>
    <xf borderId="22" fillId="29" fontId="28" numFmtId="2" xfId="0" applyAlignment="1" applyBorder="1" applyFont="1" applyNumberFormat="1">
      <alignment horizontal="center"/>
    </xf>
    <xf borderId="20" fillId="0" fontId="21" numFmtId="167" xfId="0" applyAlignment="1" applyBorder="1" applyFont="1" applyNumberFormat="1">
      <alignment horizontal="center"/>
    </xf>
    <xf borderId="21" fillId="0" fontId="28" numFmtId="0" xfId="0" applyAlignment="1" applyBorder="1" applyFont="1">
      <alignment horizontal="center"/>
    </xf>
    <xf borderId="22" fillId="0" fontId="28" numFmtId="2" xfId="0" applyAlignment="1" applyBorder="1" applyFont="1" applyNumberFormat="1">
      <alignment horizontal="center"/>
    </xf>
    <xf borderId="20" fillId="49" fontId="21" numFmtId="167" xfId="0" applyAlignment="1" applyBorder="1" applyFont="1" applyNumberFormat="1">
      <alignment horizontal="center"/>
    </xf>
    <xf borderId="21" fillId="49" fontId="28" numFmtId="0" xfId="0" applyAlignment="1" applyBorder="1" applyFont="1">
      <alignment horizontal="center"/>
    </xf>
    <xf borderId="22" fillId="49" fontId="28" numFmtId="0" xfId="0" applyAlignment="1" applyBorder="1" applyFont="1">
      <alignment horizontal="center"/>
    </xf>
    <xf borderId="20" fillId="0" fontId="21" numFmtId="165" xfId="0" applyAlignment="1" applyBorder="1" applyFont="1" applyNumberFormat="1">
      <alignment horizontal="center"/>
    </xf>
    <xf borderId="22" fillId="0" fontId="28" numFmtId="0" xfId="0" applyAlignment="1" applyBorder="1" applyFont="1">
      <alignment horizontal="center"/>
    </xf>
    <xf borderId="20" fillId="29" fontId="21" numFmtId="165" xfId="0" applyAlignment="1" applyBorder="1" applyFont="1" applyNumberFormat="1">
      <alignment horizontal="center"/>
    </xf>
    <xf borderId="22" fillId="29" fontId="28" numFmtId="0" xfId="0" applyAlignment="1" applyBorder="1" applyFont="1">
      <alignment horizontal="center"/>
    </xf>
    <xf borderId="20" fillId="0" fontId="21" numFmtId="168" xfId="0" applyAlignment="1" applyBorder="1" applyFont="1" applyNumberFormat="1">
      <alignment horizontal="center"/>
    </xf>
    <xf borderId="20" fillId="29" fontId="21" numFmtId="0" xfId="0" applyAlignment="1" applyBorder="1" applyFont="1">
      <alignment horizontal="center"/>
    </xf>
    <xf borderId="20" fillId="0" fontId="21" numFmtId="164" xfId="0" applyAlignment="1" applyBorder="1" applyFont="1" applyNumberFormat="1">
      <alignment horizontal="center"/>
    </xf>
    <xf borderId="20" fillId="29" fontId="21" numFmtId="4" xfId="0" applyAlignment="1" applyBorder="1" applyFont="1" applyNumberFormat="1">
      <alignment horizontal="center"/>
    </xf>
    <xf borderId="20" fillId="0" fontId="21" numFmtId="166" xfId="0" applyAlignment="1" applyBorder="1" applyFont="1" applyNumberFormat="1">
      <alignment horizontal="center"/>
    </xf>
    <xf borderId="20" fillId="29" fontId="28" numFmtId="0" xfId="0" applyAlignment="1" applyBorder="1" applyFont="1">
      <alignment horizontal="center" vertical="bottom"/>
    </xf>
    <xf borderId="20" fillId="0" fontId="28" numFmtId="0" xfId="0" applyAlignment="1" applyBorder="1" applyFont="1">
      <alignment horizontal="center" vertical="bottom"/>
    </xf>
    <xf borderId="30" fillId="0" fontId="28" numFmtId="0" xfId="0" applyAlignment="1" applyBorder="1" applyFont="1">
      <alignment horizontal="center" vertical="bottom"/>
    </xf>
    <xf borderId="0" fillId="0" fontId="21" numFmtId="4" xfId="0" applyAlignment="1" applyFont="1" applyNumberFormat="1">
      <alignment horizontal="center"/>
    </xf>
    <xf borderId="0" fillId="0" fontId="21" numFmtId="170" xfId="0" applyFont="1" applyNumberFormat="1"/>
    <xf borderId="1" fillId="9" fontId="18" numFmtId="0" xfId="0" applyAlignment="1" applyBorder="1" applyFont="1">
      <alignment horizontal="center" shrinkToFit="0" vertical="center" wrapText="1"/>
    </xf>
    <xf borderId="1" fillId="9" fontId="18" numFmtId="164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shrinkToFit="0" vertical="center" wrapText="1"/>
    </xf>
    <xf borderId="0" fillId="0" fontId="3" numFmtId="2" xfId="0" applyAlignment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9" fontId="1" numFmtId="0" xfId="0" applyFont="1"/>
    <xf borderId="0" fillId="9" fontId="16" numFmtId="2" xfId="0" applyAlignment="1" applyFont="1" applyNumberFormat="1">
      <alignment horizontal="center" vertical="center"/>
    </xf>
    <xf borderId="0" fillId="9" fontId="18" numFmtId="168" xfId="0" applyAlignment="1" applyFont="1" applyNumberFormat="1">
      <alignment horizontal="center" vertical="center"/>
    </xf>
    <xf borderId="0" fillId="9" fontId="18" numFmtId="164" xfId="0" applyAlignment="1" applyFont="1" applyNumberFormat="1">
      <alignment horizontal="center" vertical="center"/>
    </xf>
    <xf borderId="0" fillId="9" fontId="1" numFmtId="167" xfId="0" applyAlignment="1" applyFont="1" applyNumberFormat="1">
      <alignment horizontal="center" vertical="center"/>
    </xf>
    <xf borderId="0" fillId="9" fontId="1" numFmtId="165" xfId="0" applyAlignment="1" applyFont="1" applyNumberFormat="1">
      <alignment horizontal="center" vertical="center"/>
    </xf>
    <xf borderId="0" fillId="9" fontId="1" numFmtId="168" xfId="0" applyAlignment="1" applyFont="1" applyNumberFormat="1">
      <alignment horizontal="center" vertical="center"/>
    </xf>
    <xf borderId="0" fillId="9" fontId="1" numFmtId="166" xfId="0" applyAlignment="1" applyFont="1" applyNumberFormat="1">
      <alignment horizontal="center" vertical="center"/>
    </xf>
    <xf borderId="0" fillId="9" fontId="1" numFmtId="164" xfId="0" applyAlignment="1" applyFont="1" applyNumberFormat="1">
      <alignment horizontal="center" vertical="center"/>
    </xf>
    <xf borderId="0" fillId="9" fontId="1" numFmtId="4" xfId="0" applyAlignment="1" applyFont="1" applyNumberFormat="1">
      <alignment horizontal="center" vertical="center"/>
    </xf>
    <xf borderId="0" fillId="9" fontId="1" numFmtId="1" xfId="0" applyAlignment="1" applyFont="1" applyNumberFormat="1">
      <alignment horizontal="center" vertical="center"/>
    </xf>
    <xf borderId="0" fillId="9" fontId="1" numFmtId="9" xfId="0" applyAlignment="1" applyFont="1" applyNumberFormat="1">
      <alignment horizontal="center" vertical="center"/>
    </xf>
    <xf borderId="0" fillId="0" fontId="21" numFmtId="164" xfId="0" applyAlignment="1" applyFont="1" applyNumberFormat="1">
      <alignment horizontal="center" vertical="center"/>
    </xf>
    <xf borderId="13" fillId="0" fontId="21" numFmtId="0" xfId="0" applyAlignment="1" applyBorder="1" applyFont="1">
      <alignment horizontal="center"/>
    </xf>
    <xf borderId="12" fillId="0" fontId="28" numFmtId="0" xfId="0" applyAlignment="1" applyBorder="1" applyFont="1">
      <alignment horizontal="center"/>
    </xf>
    <xf borderId="12" fillId="0" fontId="28" numFmtId="9" xfId="0" applyAlignment="1" applyBorder="1" applyFont="1" applyNumberFormat="1">
      <alignment horizontal="center"/>
    </xf>
    <xf borderId="12" fillId="0" fontId="27" numFmtId="0" xfId="0" applyAlignment="1" applyBorder="1" applyFont="1">
      <alignment horizontal="center"/>
    </xf>
    <xf borderId="12" fillId="0" fontId="28" numFmtId="169" xfId="0" applyAlignment="1" applyBorder="1" applyFont="1" applyNumberFormat="1">
      <alignment horizontal="center"/>
    </xf>
    <xf borderId="13" fillId="29" fontId="21" numFmtId="171" xfId="0" applyAlignment="1" applyBorder="1" applyFont="1" applyNumberFormat="1">
      <alignment horizontal="center"/>
    </xf>
    <xf borderId="20" fillId="29" fontId="21" numFmtId="171" xfId="0" applyAlignment="1" applyBorder="1" applyFont="1" applyNumberFormat="1">
      <alignment horizontal="center"/>
    </xf>
    <xf borderId="12" fillId="24" fontId="18" numFmtId="0" xfId="0" applyAlignment="1" applyBorder="1" applyFont="1">
      <alignment horizontal="center" shrinkToFit="0" vertical="center" wrapText="1"/>
    </xf>
    <xf borderId="12" fillId="11" fontId="13" numFmtId="0" xfId="0" applyAlignment="1" applyBorder="1" applyFont="1">
      <alignment horizontal="center" shrinkToFit="0" vertical="center" wrapText="0"/>
    </xf>
    <xf borderId="0" fillId="11" fontId="14" numFmtId="0" xfId="0" applyAlignment="1" applyFont="1">
      <alignment horizontal="center" shrinkToFit="0" vertical="center" wrapText="0"/>
    </xf>
    <xf borderId="13" fillId="0" fontId="3" numFmtId="9" xfId="0" applyAlignment="1" applyBorder="1" applyFont="1" applyNumberFormat="1">
      <alignment horizontal="center" vertical="bottom"/>
    </xf>
    <xf borderId="12" fillId="21" fontId="13" numFmtId="2" xfId="0" applyAlignment="1" applyBorder="1" applyFont="1" applyNumberFormat="1">
      <alignment horizontal="center" shrinkToFit="0" vertical="center" wrapText="0"/>
    </xf>
    <xf borderId="18" fillId="0" fontId="3" numFmtId="2" xfId="0" applyAlignment="1" applyBorder="1" applyFont="1" applyNumberFormat="1">
      <alignment horizontal="center" vertical="bottom"/>
    </xf>
    <xf borderId="12" fillId="0" fontId="3" numFmtId="172" xfId="0" applyAlignment="1" applyBorder="1" applyFont="1" applyNumberFormat="1">
      <alignment horizontal="center" vertical="bottom"/>
    </xf>
    <xf borderId="12" fillId="0" fontId="3" numFmtId="169" xfId="0" applyAlignment="1" applyBorder="1" applyFont="1" applyNumberFormat="1">
      <alignment horizontal="center" vertical="bottom"/>
    </xf>
    <xf borderId="16" fillId="0" fontId="3" numFmtId="9" xfId="0" applyAlignment="1" applyBorder="1" applyFont="1" applyNumberFormat="1">
      <alignment horizontal="center" vertical="bottom"/>
    </xf>
    <xf borderId="19" fillId="24" fontId="12" numFmtId="0" xfId="0" applyAlignment="1" applyBorder="1" applyFont="1">
      <alignment horizontal="right" shrinkToFit="0" vertical="center" wrapText="0"/>
    </xf>
    <xf borderId="20" fillId="24" fontId="14" numFmtId="0" xfId="0" applyAlignment="1" applyBorder="1" applyFont="1">
      <alignment horizontal="center" shrinkToFit="0" vertical="center" wrapText="0"/>
    </xf>
    <xf borderId="21" fillId="24" fontId="14" numFmtId="0" xfId="0" applyAlignment="1" applyBorder="1" applyFont="1">
      <alignment horizontal="center" shrinkToFit="0" vertical="center" wrapText="0"/>
    </xf>
    <xf borderId="12" fillId="24" fontId="12" numFmtId="0" xfId="0" applyAlignment="1" applyBorder="1" applyFont="1">
      <alignment horizontal="center" shrinkToFit="0" vertical="center" wrapText="0"/>
    </xf>
    <xf borderId="0" fillId="24" fontId="12" numFmtId="0" xfId="0" applyAlignment="1" applyFont="1">
      <alignment horizontal="center" shrinkToFit="0" vertical="center" wrapText="0"/>
    </xf>
    <xf borderId="1" fillId="9" fontId="18" numFmtId="0" xfId="0" applyAlignment="1" applyBorder="1" applyFont="1">
      <alignment horizontal="center" shrinkToFit="0" wrapText="1"/>
    </xf>
    <xf borderId="1" fillId="9" fontId="18" numFmtId="164" xfId="0" applyAlignment="1" applyBorder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0" fillId="40" fontId="3" numFmtId="2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3" numFmtId="169" xfId="0" applyAlignment="1" applyFont="1" applyNumberFormat="1">
      <alignment horizontal="center" vertical="center"/>
    </xf>
    <xf borderId="0" fillId="50" fontId="3" numFmtId="2" xfId="0" applyAlignment="1" applyFill="1" applyFont="1" applyNumberFormat="1">
      <alignment horizontal="center"/>
    </xf>
    <xf borderId="0" fillId="51" fontId="3" numFmtId="2" xfId="0" applyAlignment="1" applyFill="1" applyFont="1" applyNumberFormat="1">
      <alignment horizontal="center"/>
    </xf>
    <xf borderId="0" fillId="52" fontId="3" numFmtId="2" xfId="0" applyAlignment="1" applyFill="1" applyFont="1" applyNumberFormat="1">
      <alignment horizontal="center"/>
    </xf>
    <xf borderId="0" fillId="53" fontId="3" numFmtId="2" xfId="0" applyAlignment="1" applyFill="1" applyFont="1" applyNumberFormat="1">
      <alignment horizontal="center"/>
    </xf>
    <xf borderId="0" fillId="9" fontId="18" numFmtId="0" xfId="0" applyAlignment="1" applyFont="1">
      <alignment vertical="bottom"/>
    </xf>
    <xf borderId="0" fillId="54" fontId="30" numFmtId="2" xfId="0" applyAlignment="1" applyFill="1" applyFont="1" applyNumberFormat="1">
      <alignment horizontal="center"/>
    </xf>
    <xf borderId="0" fillId="9" fontId="18" numFmtId="168" xfId="0" applyAlignment="1" applyFont="1" applyNumberFormat="1">
      <alignment horizontal="center"/>
    </xf>
    <xf borderId="0" fillId="9" fontId="18" numFmtId="164" xfId="0" applyAlignment="1" applyFont="1" applyNumberFormat="1">
      <alignment horizontal="center"/>
    </xf>
    <xf borderId="0" fillId="9" fontId="18" numFmtId="167" xfId="0" applyAlignment="1" applyFont="1" applyNumberFormat="1">
      <alignment horizontal="center"/>
    </xf>
    <xf borderId="0" fillId="9" fontId="18" numFmtId="165" xfId="0" applyAlignment="1" applyFont="1" applyNumberFormat="1">
      <alignment horizontal="center"/>
    </xf>
    <xf borderId="0" fillId="9" fontId="18" numFmtId="166" xfId="0" applyAlignment="1" applyFont="1" applyNumberFormat="1">
      <alignment horizontal="center"/>
    </xf>
    <xf borderId="0" fillId="9" fontId="18" numFmtId="4" xfId="0" applyAlignment="1" applyFont="1" applyNumberFormat="1">
      <alignment horizontal="center"/>
    </xf>
    <xf borderId="0" fillId="9" fontId="18" numFmtId="1" xfId="0" applyAlignment="1" applyFont="1" applyNumberFormat="1">
      <alignment horizontal="center"/>
    </xf>
    <xf borderId="0" fillId="9" fontId="18" numFmtId="9" xfId="0" applyAlignment="1" applyFont="1" applyNumberFormat="1">
      <alignment horizontal="center"/>
    </xf>
    <xf borderId="0" fillId="9" fontId="1" numFmtId="2" xfId="0" applyAlignment="1" applyFont="1" applyNumberFormat="1">
      <alignment horizontal="center" vertical="center"/>
    </xf>
    <xf borderId="0" fillId="9" fontId="18" numFmtId="9" xfId="0" applyAlignment="1" applyFont="1" applyNumberFormat="1">
      <alignment horizontal="center" vertical="center"/>
    </xf>
    <xf borderId="0" fillId="9" fontId="18" numFmtId="169" xfId="0" applyAlignment="1" applyFont="1" applyNumberFormat="1">
      <alignment horizontal="center" vertical="center"/>
    </xf>
    <xf borderId="0" fillId="0" fontId="17" numFmtId="169" xfId="0" applyAlignment="1" applyFont="1" applyNumberFormat="1">
      <alignment horizontal="center" vertical="center"/>
    </xf>
    <xf borderId="12" fillId="9" fontId="31" numFmtId="0" xfId="0" applyBorder="1" applyFont="1"/>
    <xf borderId="12" fillId="9" fontId="31" numFmtId="0" xfId="0" applyAlignment="1" applyBorder="1" applyFont="1">
      <alignment horizontal="center"/>
    </xf>
    <xf borderId="12" fillId="9" fontId="31" numFmtId="167" xfId="0" applyAlignment="1" applyBorder="1" applyFont="1" applyNumberFormat="1">
      <alignment horizontal="center"/>
    </xf>
    <xf borderId="0" fillId="28" fontId="31" numFmtId="0" xfId="0" applyAlignment="1" applyFont="1">
      <alignment horizontal="center"/>
    </xf>
    <xf borderId="0" fillId="28" fontId="21" numFmtId="0" xfId="0" applyFont="1"/>
    <xf borderId="12" fillId="55" fontId="32" numFmtId="0" xfId="0" applyBorder="1" applyFill="1" applyFont="1"/>
    <xf borderId="12" fillId="0" fontId="21" numFmtId="6" xfId="0" applyAlignment="1" applyBorder="1" applyFont="1" applyNumberFormat="1">
      <alignment horizontal="center"/>
    </xf>
    <xf borderId="12" fillId="0" fontId="21" numFmtId="5" xfId="0" applyAlignment="1" applyBorder="1" applyFont="1" applyNumberFormat="1">
      <alignment horizontal="center"/>
    </xf>
    <xf borderId="12" fillId="55" fontId="21" numFmtId="167" xfId="0" applyAlignment="1" applyBorder="1" applyFont="1" applyNumberFormat="1">
      <alignment horizontal="center"/>
    </xf>
    <xf borderId="12" fillId="0" fontId="21" numFmtId="164" xfId="0" applyAlignment="1" applyBorder="1" applyFont="1" applyNumberFormat="1">
      <alignment horizontal="center"/>
    </xf>
    <xf borderId="12" fillId="55" fontId="21" numFmtId="171" xfId="0" applyAlignment="1" applyBorder="1" applyFont="1" applyNumberFormat="1">
      <alignment horizontal="center"/>
    </xf>
    <xf borderId="12" fillId="0" fontId="21" numFmtId="173" xfId="0" applyAlignment="1" applyBorder="1" applyFont="1" applyNumberFormat="1">
      <alignment horizontal="center"/>
    </xf>
    <xf borderId="0" fillId="28" fontId="21" numFmtId="0" xfId="0" applyAlignment="1" applyFont="1">
      <alignment horizontal="center"/>
    </xf>
    <xf borderId="0" fillId="28" fontId="21" numFmtId="10" xfId="0" applyFont="1" applyNumberFormat="1"/>
    <xf borderId="12" fillId="9" fontId="31" numFmtId="174" xfId="0" applyBorder="1" applyFont="1" applyNumberFormat="1"/>
    <xf borderId="12" fillId="9" fontId="31" numFmtId="174" xfId="0" applyAlignment="1" applyBorder="1" applyFont="1" applyNumberFormat="1">
      <alignment horizontal="center"/>
    </xf>
    <xf borderId="12" fillId="9" fontId="31" numFmtId="6" xfId="0" applyAlignment="1" applyBorder="1" applyFont="1" applyNumberFormat="1">
      <alignment horizontal="center"/>
    </xf>
    <xf borderId="12" fillId="9" fontId="31" numFmtId="5" xfId="0" applyAlignment="1" applyBorder="1" applyFont="1" applyNumberFormat="1">
      <alignment horizontal="center"/>
    </xf>
    <xf borderId="12" fillId="9" fontId="31" numFmtId="10" xfId="0" applyAlignment="1" applyBorder="1" applyFont="1" applyNumberFormat="1">
      <alignment horizontal="center"/>
    </xf>
    <xf borderId="12" fillId="9" fontId="31" numFmtId="164" xfId="0" applyAlignment="1" applyBorder="1" applyFont="1" applyNumberFormat="1">
      <alignment horizontal="center"/>
    </xf>
    <xf borderId="12" fillId="9" fontId="31" numFmtId="171" xfId="0" applyAlignment="1" applyBorder="1" applyFont="1" applyNumberFormat="1">
      <alignment horizontal="center"/>
    </xf>
    <xf borderId="0" fillId="9" fontId="31" numFmtId="0" xfId="0" applyFont="1"/>
    <xf borderId="12" fillId="55" fontId="21" numFmtId="0" xfId="0" applyBorder="1" applyFont="1"/>
    <xf borderId="12" fillId="0" fontId="21" numFmtId="0" xfId="0" applyAlignment="1" applyBorder="1" applyFont="1">
      <alignment horizontal="center"/>
    </xf>
    <xf borderId="12" fillId="0" fontId="21" numFmtId="168" xfId="0" applyAlignment="1" applyBorder="1" applyFont="1" applyNumberFormat="1">
      <alignment horizontal="center"/>
    </xf>
    <xf borderId="12" fillId="55" fontId="21" numFmtId="168" xfId="0" applyAlignment="1" applyBorder="1" applyFont="1" applyNumberFormat="1">
      <alignment horizontal="center"/>
    </xf>
    <xf borderId="14" fillId="28" fontId="31" numFmtId="0" xfId="0" applyBorder="1" applyFont="1"/>
    <xf borderId="12" fillId="9" fontId="31" numFmtId="3" xfId="0" applyAlignment="1" applyBorder="1" applyFont="1" applyNumberFormat="1">
      <alignment horizontal="center"/>
    </xf>
    <xf borderId="12" fillId="9" fontId="31" numFmtId="168" xfId="0" applyAlignment="1" applyBorder="1" applyFont="1" applyNumberFormat="1">
      <alignment horizontal="center"/>
    </xf>
    <xf borderId="12" fillId="55" fontId="21" numFmtId="166" xfId="0" applyAlignment="1" applyBorder="1" applyFont="1" applyNumberFormat="1">
      <alignment horizontal="center"/>
    </xf>
    <xf borderId="12" fillId="28" fontId="21" numFmtId="168" xfId="0" applyAlignment="1" applyBorder="1" applyFont="1" applyNumberFormat="1">
      <alignment horizontal="center"/>
    </xf>
    <xf borderId="12" fillId="28" fontId="21" numFmtId="0" xfId="0" applyAlignment="1" applyBorder="1" applyFont="1">
      <alignment horizontal="center"/>
    </xf>
    <xf borderId="12" fillId="9" fontId="31" numFmtId="166" xfId="0" applyAlignment="1" applyBorder="1" applyFont="1" applyNumberFormat="1">
      <alignment horizontal="center"/>
    </xf>
    <xf borderId="16" fillId="9" fontId="31" numFmtId="0" xfId="0" applyAlignment="1" applyBorder="1" applyFont="1">
      <alignment horizontal="center"/>
    </xf>
    <xf borderId="18" fillId="0" fontId="5" numFmtId="0" xfId="0" applyBorder="1" applyFont="1"/>
    <xf borderId="0" fillId="28" fontId="32" numFmtId="0" xfId="0" applyFont="1"/>
    <xf borderId="0" fillId="28" fontId="31" numFmtId="4" xfId="0" applyAlignment="1" applyFont="1" applyNumberFormat="1">
      <alignment horizontal="center"/>
    </xf>
    <xf borderId="12" fillId="0" fontId="21" numFmtId="0" xfId="0" applyBorder="1" applyFont="1"/>
    <xf borderId="12" fillId="0" fontId="29" numFmtId="2" xfId="0" applyAlignment="1" applyBorder="1" applyFont="1" applyNumberFormat="1">
      <alignment horizontal="center" vertical="bottom"/>
    </xf>
    <xf borderId="0" fillId="28" fontId="21" numFmtId="4" xfId="0" applyAlignment="1" applyFont="1" applyNumberFormat="1">
      <alignment horizontal="center"/>
    </xf>
    <xf borderId="12" fillId="9" fontId="33" numFmtId="2" xfId="0" applyAlignment="1" applyBorder="1" applyFont="1" applyNumberFormat="1">
      <alignment horizontal="center" vertical="bottom"/>
    </xf>
    <xf borderId="0" fillId="28" fontId="31" numFmtId="0" xfId="0" applyFont="1"/>
    <xf borderId="0" fillId="28" fontId="21" numFmtId="4" xfId="0" applyFont="1" applyNumberFormat="1"/>
    <xf borderId="12" fillId="56" fontId="32" numFmtId="0" xfId="0" applyBorder="1" applyFill="1" applyFont="1"/>
    <xf borderId="12" fillId="0" fontId="21" numFmtId="167" xfId="0" applyAlignment="1" applyBorder="1" applyFont="1" applyNumberFormat="1">
      <alignment horizontal="center"/>
    </xf>
    <xf borderId="12" fillId="6" fontId="21" numFmtId="5" xfId="0" applyAlignment="1" applyBorder="1" applyFont="1" applyNumberFormat="1">
      <alignment horizontal="center"/>
    </xf>
    <xf borderId="12" fillId="6" fontId="21" numFmtId="167" xfId="0" applyAlignment="1" applyBorder="1" applyFont="1" applyNumberFormat="1">
      <alignment horizontal="center"/>
    </xf>
    <xf borderId="0" fillId="28" fontId="21" numFmtId="19" xfId="0" applyAlignment="1" applyFont="1" applyNumberFormat="1">
      <alignment horizontal="center"/>
    </xf>
    <xf borderId="12" fillId="56" fontId="21" numFmtId="0" xfId="0" applyBorder="1" applyFont="1"/>
    <xf borderId="12" fillId="28" fontId="21" numFmtId="1" xfId="0" applyAlignment="1" applyBorder="1" applyFont="1" applyNumberFormat="1">
      <alignment horizontal="center"/>
    </xf>
    <xf borderId="12" fillId="56" fontId="21" numFmtId="0" xfId="0" applyAlignment="1" applyBorder="1" applyFont="1">
      <alignment horizontal="center"/>
    </xf>
    <xf borderId="12" fillId="56" fontId="21" numFmtId="168" xfId="0" applyAlignment="1" applyBorder="1" applyFont="1" applyNumberFormat="1">
      <alignment horizontal="center"/>
    </xf>
    <xf borderId="12" fillId="9" fontId="31" numFmtId="3" xfId="0" applyBorder="1" applyFont="1" applyNumberFormat="1"/>
    <xf borderId="12" fillId="9" fontId="31" numFmtId="166" xfId="0" applyBorder="1" applyFont="1" applyNumberFormat="1"/>
    <xf borderId="12" fillId="0" fontId="21" numFmtId="166" xfId="0" applyAlignment="1" applyBorder="1" applyFont="1" applyNumberFormat="1">
      <alignment horizontal="center"/>
    </xf>
    <xf borderId="12" fillId="56" fontId="21" numFmtId="164" xfId="0" applyBorder="1" applyFont="1" applyNumberFormat="1"/>
    <xf borderId="12" fillId="9" fontId="31" numFmtId="168" xfId="0" applyBorder="1" applyFont="1" applyNumberFormat="1"/>
    <xf borderId="12" fillId="9" fontId="31" numFmtId="164" xfId="0" applyBorder="1" applyFont="1" applyNumberFormat="1"/>
    <xf borderId="16" fillId="9" fontId="31" numFmtId="0" xfId="0" applyBorder="1" applyFont="1"/>
    <xf borderId="12" fillId="0" fontId="28" numFmtId="0" xfId="0" applyAlignment="1" applyBorder="1" applyFont="1">
      <alignment horizontal="center" vertical="bottom"/>
    </xf>
    <xf borderId="12" fillId="28" fontId="32" numFmtId="0" xfId="0" applyAlignment="1" applyBorder="1" applyFont="1">
      <alignment horizontal="center"/>
    </xf>
    <xf borderId="0" fillId="28" fontId="31" numFmtId="3" xfId="0" applyFont="1" applyNumberFormat="1"/>
    <xf borderId="12" fillId="0" fontId="21" numFmtId="171" xfId="0" applyAlignment="1" applyBorder="1" applyFont="1" applyNumberFormat="1">
      <alignment horizontal="center"/>
    </xf>
    <xf borderId="12" fillId="9" fontId="33" numFmtId="3" xfId="0" applyAlignment="1" applyBorder="1" applyFont="1" applyNumberFormat="1">
      <alignment horizontal="right" vertical="bottom"/>
    </xf>
    <xf borderId="12" fillId="9" fontId="33" numFmtId="166" xfId="0" applyAlignment="1" applyBorder="1" applyFont="1" applyNumberFormat="1">
      <alignment horizontal="right" vertical="bottom"/>
    </xf>
    <xf borderId="12" fillId="9" fontId="29" numFmtId="0" xfId="0" applyAlignment="1" applyBorder="1" applyFont="1">
      <alignment vertical="bottom"/>
    </xf>
    <xf borderId="12" fillId="9" fontId="29" numFmtId="168" xfId="0" applyAlignment="1" applyBorder="1" applyFont="1" applyNumberFormat="1">
      <alignment vertical="bottom"/>
    </xf>
    <xf borderId="12" fillId="9" fontId="33" numFmtId="164" xfId="0" applyAlignment="1" applyBorder="1" applyFont="1" applyNumberFormat="1">
      <alignment horizontal="right" vertical="bottom"/>
    </xf>
    <xf borderId="12" fillId="28" fontId="21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31" width="7.63"/>
  </cols>
  <sheetData>
    <row r="1" ht="24.75" hidden="1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>
      <c r="A2" s="4" t="s">
        <v>9</v>
      </c>
      <c r="B2" s="4" t="s">
        <v>10</v>
      </c>
      <c r="C2" s="5">
        <v>5.0</v>
      </c>
      <c r="D2" s="6" t="s">
        <v>11</v>
      </c>
      <c r="E2" s="7" t="s">
        <v>12</v>
      </c>
      <c r="F2" s="8" t="s">
        <v>13</v>
      </c>
      <c r="G2" s="9" t="s">
        <v>14</v>
      </c>
      <c r="H2" s="10" t="s">
        <v>15</v>
      </c>
      <c r="I2" s="11" t="s">
        <v>16</v>
      </c>
      <c r="J2" s="12">
        <v>5.9</v>
      </c>
      <c r="K2" s="3">
        <v>6.0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idden="1">
      <c r="A3" s="4" t="s">
        <v>9</v>
      </c>
      <c r="B3" s="4" t="s">
        <v>17</v>
      </c>
      <c r="C3" s="5">
        <v>5.0</v>
      </c>
      <c r="D3" s="6" t="s">
        <v>18</v>
      </c>
      <c r="E3" s="7" t="s">
        <v>19</v>
      </c>
      <c r="F3" s="8" t="s">
        <v>20</v>
      </c>
      <c r="G3" s="9" t="s">
        <v>21</v>
      </c>
      <c r="H3" s="10" t="s">
        <v>22</v>
      </c>
      <c r="I3" s="11" t="s">
        <v>23</v>
      </c>
      <c r="J3" s="12">
        <v>5.9</v>
      </c>
      <c r="K3" s="3">
        <v>6.0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idden="1">
      <c r="A4" s="4" t="s">
        <v>24</v>
      </c>
      <c r="B4" s="4" t="s">
        <v>25</v>
      </c>
      <c r="C4" s="5">
        <v>15.0</v>
      </c>
      <c r="D4" s="6" t="s">
        <v>26</v>
      </c>
      <c r="E4" s="7" t="s">
        <v>27</v>
      </c>
      <c r="F4" s="8" t="s">
        <v>28</v>
      </c>
      <c r="G4" s="9" t="s">
        <v>29</v>
      </c>
      <c r="H4" s="10" t="s">
        <v>30</v>
      </c>
      <c r="I4" s="11" t="s">
        <v>31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idden="1">
      <c r="A5" s="4" t="s">
        <v>32</v>
      </c>
      <c r="B5" s="4" t="s">
        <v>33</v>
      </c>
      <c r="C5" s="5">
        <v>12.5</v>
      </c>
      <c r="D5" s="6" t="s">
        <v>34</v>
      </c>
      <c r="E5" s="7" t="s">
        <v>35</v>
      </c>
      <c r="F5" s="8" t="s">
        <v>36</v>
      </c>
      <c r="G5" s="9" t="s">
        <v>37</v>
      </c>
      <c r="H5" s="10" t="s">
        <v>38</v>
      </c>
      <c r="I5" s="11" t="s">
        <v>39</v>
      </c>
      <c r="J5" s="13">
        <v>14.7</v>
      </c>
      <c r="K5" s="3">
        <v>14.5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idden="1">
      <c r="A6" s="4" t="s">
        <v>32</v>
      </c>
      <c r="B6" s="4" t="s">
        <v>40</v>
      </c>
      <c r="C6" s="5">
        <v>12.5</v>
      </c>
      <c r="D6" s="6" t="s">
        <v>34</v>
      </c>
      <c r="E6" s="7" t="s">
        <v>35</v>
      </c>
      <c r="F6" s="8" t="s">
        <v>36</v>
      </c>
      <c r="G6" s="9" t="s">
        <v>37</v>
      </c>
      <c r="H6" s="10" t="s">
        <v>41</v>
      </c>
      <c r="I6" s="11" t="s">
        <v>39</v>
      </c>
      <c r="J6" s="14">
        <v>14.7</v>
      </c>
      <c r="K6" s="3">
        <v>14.5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idden="1">
      <c r="A7" s="4" t="s">
        <v>42</v>
      </c>
      <c r="B7" s="4" t="s">
        <v>43</v>
      </c>
      <c r="C7" s="5">
        <v>17.5</v>
      </c>
      <c r="D7" s="6" t="s">
        <v>44</v>
      </c>
      <c r="E7" s="7" t="s">
        <v>45</v>
      </c>
      <c r="F7" s="8" t="s">
        <v>46</v>
      </c>
      <c r="G7" s="9" t="s">
        <v>47</v>
      </c>
      <c r="H7" s="10" t="s">
        <v>48</v>
      </c>
      <c r="I7" s="11" t="s">
        <v>49</v>
      </c>
      <c r="J7" s="14">
        <v>20.6</v>
      </c>
      <c r="K7" s="3">
        <v>20.5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idden="1">
      <c r="A8" s="4" t="s">
        <v>42</v>
      </c>
      <c r="B8" s="4" t="s">
        <v>50</v>
      </c>
      <c r="C8" s="5">
        <v>7.5</v>
      </c>
      <c r="D8" s="6" t="s">
        <v>44</v>
      </c>
      <c r="E8" s="7" t="s">
        <v>45</v>
      </c>
      <c r="F8" s="8" t="s">
        <v>46</v>
      </c>
      <c r="G8" s="9" t="s">
        <v>47</v>
      </c>
      <c r="H8" s="10" t="s">
        <v>48</v>
      </c>
      <c r="I8" s="11" t="s">
        <v>49</v>
      </c>
      <c r="J8" s="14">
        <v>8.8</v>
      </c>
      <c r="K8" s="3">
        <v>8.5</v>
      </c>
      <c r="L8" s="3"/>
      <c r="M8" s="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idden="1">
      <c r="A9" s="4" t="s">
        <v>42</v>
      </c>
      <c r="B9" s="4" t="s">
        <v>51</v>
      </c>
      <c r="C9" s="5">
        <v>10.0</v>
      </c>
      <c r="D9" s="6" t="s">
        <v>52</v>
      </c>
      <c r="E9" s="7" t="s">
        <v>53</v>
      </c>
      <c r="F9" s="8" t="s">
        <v>54</v>
      </c>
      <c r="G9" s="9" t="s">
        <v>55</v>
      </c>
      <c r="H9" s="10" t="s">
        <v>56</v>
      </c>
      <c r="I9" s="11" t="s">
        <v>57</v>
      </c>
      <c r="J9" s="14">
        <v>11.8</v>
      </c>
      <c r="K9" s="3">
        <v>12.0</v>
      </c>
      <c r="L9" s="3"/>
      <c r="M9" s="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idden="1">
      <c r="A10" s="4" t="s">
        <v>42</v>
      </c>
      <c r="B10" s="4" t="s">
        <v>58</v>
      </c>
      <c r="C10" s="5">
        <v>7.5</v>
      </c>
      <c r="D10" s="6" t="s">
        <v>59</v>
      </c>
      <c r="E10" s="7" t="s">
        <v>60</v>
      </c>
      <c r="F10" s="8" t="s">
        <v>61</v>
      </c>
      <c r="G10" s="9" t="s">
        <v>62</v>
      </c>
      <c r="H10" s="10" t="s">
        <v>63</v>
      </c>
      <c r="I10" s="11" t="s">
        <v>64</v>
      </c>
      <c r="J10" s="14">
        <v>8.8</v>
      </c>
      <c r="K10" s="3">
        <v>9.0</v>
      </c>
      <c r="L10" s="3"/>
      <c r="M10" s="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idden="1">
      <c r="A11" s="4" t="s">
        <v>42</v>
      </c>
      <c r="B11" s="4" t="s">
        <v>65</v>
      </c>
      <c r="C11" s="5">
        <v>7.5</v>
      </c>
      <c r="D11" s="6" t="s">
        <v>44</v>
      </c>
      <c r="E11" s="7" t="s">
        <v>45</v>
      </c>
      <c r="F11" s="8" t="s">
        <v>46</v>
      </c>
      <c r="G11" s="9" t="s">
        <v>47</v>
      </c>
      <c r="H11" s="10" t="s">
        <v>48</v>
      </c>
      <c r="I11" s="11" t="s">
        <v>49</v>
      </c>
      <c r="J11" s="14">
        <v>8.8</v>
      </c>
      <c r="K11" s="3">
        <v>9.0</v>
      </c>
      <c r="L11" s="3"/>
      <c r="M11" s="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idden="1">
      <c r="A12" s="4" t="s">
        <v>42</v>
      </c>
      <c r="B12" s="4" t="s">
        <v>66</v>
      </c>
      <c r="C12" s="5">
        <v>12.5</v>
      </c>
      <c r="D12" s="6" t="s">
        <v>67</v>
      </c>
      <c r="E12" s="7" t="s">
        <v>68</v>
      </c>
      <c r="F12" s="8" t="s">
        <v>69</v>
      </c>
      <c r="G12" s="9" t="s">
        <v>70</v>
      </c>
      <c r="H12" s="10" t="s">
        <v>71</v>
      </c>
      <c r="I12" s="11" t="s">
        <v>72</v>
      </c>
      <c r="J12" s="3"/>
      <c r="K12" s="3"/>
      <c r="L12" s="3"/>
      <c r="M12" s="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idden="1">
      <c r="A13" s="4" t="s">
        <v>42</v>
      </c>
      <c r="B13" s="4" t="s">
        <v>73</v>
      </c>
      <c r="C13" s="5">
        <v>6.25</v>
      </c>
      <c r="D13" s="6" t="s">
        <v>67</v>
      </c>
      <c r="E13" s="7" t="s">
        <v>68</v>
      </c>
      <c r="F13" s="8" t="s">
        <v>69</v>
      </c>
      <c r="G13" s="9" t="s">
        <v>70</v>
      </c>
      <c r="H13" s="10" t="s">
        <v>71</v>
      </c>
      <c r="I13" s="11" t="s">
        <v>72</v>
      </c>
      <c r="J13" s="3"/>
      <c r="K13" s="3"/>
      <c r="L13" s="3"/>
      <c r="M13" s="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idden="1">
      <c r="A14" s="4" t="s">
        <v>74</v>
      </c>
      <c r="B14" s="4" t="s">
        <v>75</v>
      </c>
      <c r="C14" s="5">
        <v>0.0</v>
      </c>
      <c r="D14" s="6"/>
      <c r="E14" s="7" t="s">
        <v>76</v>
      </c>
      <c r="F14" s="8"/>
      <c r="G14" s="9" t="s">
        <v>77</v>
      </c>
      <c r="H14" s="10"/>
      <c r="I14" s="11"/>
      <c r="J14" s="3"/>
      <c r="K14" s="3"/>
      <c r="L14" s="3"/>
      <c r="M14" s="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idden="1">
      <c r="A15" s="3"/>
      <c r="B15" s="3"/>
      <c r="C15" s="15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idden="1">
      <c r="A16" s="3"/>
      <c r="B16" s="3"/>
      <c r="C16" s="15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3"/>
      <c r="B17" s="3"/>
      <c r="C17" s="15"/>
      <c r="D17" s="16"/>
      <c r="E17" s="3"/>
      <c r="F17" s="3"/>
      <c r="G17" s="16"/>
      <c r="H17" s="3"/>
      <c r="I17" s="3"/>
      <c r="J17" s="12"/>
      <c r="K17" s="3"/>
      <c r="L17" s="3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17"/>
      <c r="Z17" s="3"/>
      <c r="AA17" s="3"/>
      <c r="AB17" s="3"/>
      <c r="AC17" s="3"/>
      <c r="AD17" s="3"/>
      <c r="AE17" s="3"/>
    </row>
    <row r="18">
      <c r="A18" s="18" t="s">
        <v>78</v>
      </c>
      <c r="B18" s="19"/>
      <c r="C18" s="19"/>
      <c r="D18" s="19"/>
      <c r="E18" s="19"/>
      <c r="F18" s="19"/>
      <c r="G18" s="19"/>
      <c r="H18" s="19"/>
      <c r="I18" s="19"/>
      <c r="J18" s="12"/>
      <c r="K18" s="3"/>
      <c r="L18" s="3"/>
      <c r="M18" s="12"/>
      <c r="N18" s="3"/>
      <c r="O18" s="3"/>
      <c r="P18" s="3"/>
      <c r="Q18" s="3"/>
      <c r="R18" s="3"/>
      <c r="S18" s="3"/>
      <c r="T18" s="3"/>
      <c r="U18" s="3"/>
      <c r="V18" s="15"/>
      <c r="W18" s="3"/>
      <c r="X18" s="3"/>
      <c r="Y18" s="17"/>
      <c r="Z18" s="3"/>
      <c r="AA18" s="3"/>
      <c r="AB18" s="20"/>
      <c r="AC18" s="3"/>
      <c r="AD18" s="3"/>
      <c r="AE18" s="3"/>
    </row>
    <row r="19">
      <c r="A19" s="21" t="s">
        <v>0</v>
      </c>
      <c r="B19" s="21" t="s">
        <v>1</v>
      </c>
      <c r="C19" s="22" t="s">
        <v>2</v>
      </c>
      <c r="D19" s="21">
        <v>0.0</v>
      </c>
      <c r="E19" s="21">
        <v>1.0</v>
      </c>
      <c r="F19" s="21">
        <v>2.0</v>
      </c>
      <c r="G19" s="21" t="s">
        <v>6</v>
      </c>
      <c r="H19" s="21" t="s">
        <v>7</v>
      </c>
      <c r="I19" s="21" t="s">
        <v>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23" t="s">
        <v>9</v>
      </c>
      <c r="B20" s="24" t="s">
        <v>10</v>
      </c>
      <c r="C20" s="25">
        <v>0.06</v>
      </c>
      <c r="D20" s="26" t="s">
        <v>11</v>
      </c>
      <c r="E20" s="27" t="s">
        <v>79</v>
      </c>
      <c r="F20" s="28" t="s">
        <v>13</v>
      </c>
      <c r="G20" s="29" t="s">
        <v>14</v>
      </c>
      <c r="H20" s="30" t="s">
        <v>15</v>
      </c>
      <c r="I20" s="31" t="s">
        <v>31</v>
      </c>
      <c r="J20" s="12"/>
      <c r="K20" s="3"/>
      <c r="L20" s="3"/>
      <c r="M20" s="12"/>
      <c r="N20" s="3"/>
      <c r="O20" s="3"/>
      <c r="P20" s="3"/>
      <c r="Q20" s="3"/>
      <c r="R20" s="3"/>
      <c r="S20" s="3"/>
      <c r="T20" s="3"/>
      <c r="U20" s="3"/>
      <c r="V20" s="15"/>
      <c r="W20" s="3"/>
      <c r="X20" s="3"/>
      <c r="Y20" s="17"/>
      <c r="Z20" s="3"/>
      <c r="AA20" s="3"/>
      <c r="AB20" s="20"/>
      <c r="AC20" s="3"/>
      <c r="AD20" s="3"/>
      <c r="AE20" s="3"/>
    </row>
    <row r="21" ht="15.75" customHeight="1">
      <c r="A21" s="32"/>
      <c r="B21" s="33" t="s">
        <v>80</v>
      </c>
      <c r="C21" s="34"/>
      <c r="D21" s="35" t="s">
        <v>81</v>
      </c>
      <c r="E21" s="36" t="s">
        <v>82</v>
      </c>
      <c r="F21" s="36" t="s">
        <v>83</v>
      </c>
      <c r="G21" s="35" t="s">
        <v>84</v>
      </c>
      <c r="H21" s="36" t="s">
        <v>85</v>
      </c>
      <c r="I21" s="36">
        <v>5.0</v>
      </c>
      <c r="J21" s="12"/>
      <c r="K21" s="3"/>
      <c r="L21" s="3"/>
      <c r="M21" s="12"/>
      <c r="N21" s="3"/>
      <c r="O21" s="3"/>
      <c r="P21" s="3"/>
      <c r="Q21" s="3"/>
      <c r="R21" s="3"/>
      <c r="S21" s="3"/>
      <c r="T21" s="3"/>
      <c r="U21" s="3"/>
      <c r="V21" s="15"/>
      <c r="W21" s="3"/>
      <c r="X21" s="3"/>
      <c r="Y21" s="17"/>
      <c r="Z21" s="3"/>
      <c r="AA21" s="3"/>
      <c r="AB21" s="20"/>
      <c r="AC21" s="3"/>
      <c r="AD21" s="3"/>
      <c r="AE21" s="3"/>
    </row>
    <row r="22" ht="15.75" customHeight="1">
      <c r="A22" s="32"/>
      <c r="B22" s="24" t="s">
        <v>17</v>
      </c>
      <c r="C22" s="25">
        <v>0.06</v>
      </c>
      <c r="D22" s="26" t="s">
        <v>86</v>
      </c>
      <c r="E22" s="27" t="s">
        <v>87</v>
      </c>
      <c r="F22" s="28" t="s">
        <v>88</v>
      </c>
      <c r="G22" s="29" t="s">
        <v>89</v>
      </c>
      <c r="H22" s="30" t="s">
        <v>90</v>
      </c>
      <c r="I22" s="31" t="s">
        <v>23</v>
      </c>
      <c r="J22" s="12"/>
      <c r="K22" s="3"/>
      <c r="L22" s="3"/>
      <c r="M22" s="12"/>
      <c r="N22" s="3"/>
      <c r="O22" s="3"/>
      <c r="P22" s="3"/>
      <c r="Q22" s="3"/>
      <c r="R22" s="3"/>
      <c r="S22" s="3"/>
      <c r="T22" s="3"/>
      <c r="U22" s="3"/>
      <c r="V22" s="15"/>
      <c r="W22" s="3"/>
      <c r="X22" s="3"/>
      <c r="Y22" s="17"/>
      <c r="Z22" s="3"/>
      <c r="AA22" s="3"/>
      <c r="AB22" s="20"/>
      <c r="AC22" s="3"/>
      <c r="AD22" s="3"/>
      <c r="AE22" s="3"/>
    </row>
    <row r="23" ht="15.75" customHeight="1">
      <c r="A23" s="32"/>
      <c r="B23" s="33" t="s">
        <v>80</v>
      </c>
      <c r="C23" s="34"/>
      <c r="D23" s="36" t="s">
        <v>81</v>
      </c>
      <c r="E23" s="36" t="s">
        <v>82</v>
      </c>
      <c r="F23" s="36" t="s">
        <v>83</v>
      </c>
      <c r="G23" s="36" t="s">
        <v>84</v>
      </c>
      <c r="H23" s="36" t="s">
        <v>85</v>
      </c>
      <c r="I23" s="36">
        <v>5.0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37" t="s">
        <v>32</v>
      </c>
      <c r="B24" s="38" t="s">
        <v>33</v>
      </c>
      <c r="C24" s="25">
        <v>0.145</v>
      </c>
      <c r="D24" s="39" t="s">
        <v>34</v>
      </c>
      <c r="E24" s="27" t="s">
        <v>91</v>
      </c>
      <c r="F24" s="28" t="s">
        <v>92</v>
      </c>
      <c r="G24" s="40" t="s">
        <v>93</v>
      </c>
      <c r="H24" s="30" t="s">
        <v>94</v>
      </c>
      <c r="I24" s="31" t="s">
        <v>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41"/>
      <c r="B25" s="33" t="s">
        <v>80</v>
      </c>
      <c r="C25" s="34"/>
      <c r="D25" s="36" t="s">
        <v>81</v>
      </c>
      <c r="E25" s="36" t="s">
        <v>82</v>
      </c>
      <c r="F25" s="36" t="s">
        <v>83</v>
      </c>
      <c r="G25" s="36" t="s">
        <v>84</v>
      </c>
      <c r="H25" s="36" t="s">
        <v>85</v>
      </c>
      <c r="I25" s="36">
        <v>5.0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41"/>
      <c r="B26" s="38" t="s">
        <v>40</v>
      </c>
      <c r="C26" s="25">
        <v>0.145</v>
      </c>
      <c r="D26" s="39" t="s">
        <v>34</v>
      </c>
      <c r="E26" s="27" t="s">
        <v>96</v>
      </c>
      <c r="F26" s="28" t="s">
        <v>92</v>
      </c>
      <c r="G26" s="40" t="s">
        <v>93</v>
      </c>
      <c r="H26" s="30" t="s">
        <v>94</v>
      </c>
      <c r="I26" s="31" t="s">
        <v>95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41"/>
      <c r="B27" s="33" t="s">
        <v>80</v>
      </c>
      <c r="C27" s="34"/>
      <c r="D27" s="36" t="s">
        <v>81</v>
      </c>
      <c r="E27" s="36" t="s">
        <v>82</v>
      </c>
      <c r="F27" s="36" t="s">
        <v>83</v>
      </c>
      <c r="G27" s="36" t="s">
        <v>84</v>
      </c>
      <c r="H27" s="36" t="s">
        <v>85</v>
      </c>
      <c r="I27" s="36">
        <v>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42" t="s">
        <v>42</v>
      </c>
      <c r="B28" s="43" t="s">
        <v>43</v>
      </c>
      <c r="C28" s="25">
        <v>0.29</v>
      </c>
      <c r="D28" s="39" t="s">
        <v>44</v>
      </c>
      <c r="E28" s="27" t="s">
        <v>97</v>
      </c>
      <c r="F28" s="28" t="s">
        <v>46</v>
      </c>
      <c r="G28" s="40" t="s">
        <v>47</v>
      </c>
      <c r="H28" s="30" t="s">
        <v>48</v>
      </c>
      <c r="I28" s="31" t="s">
        <v>49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44"/>
      <c r="B29" s="33" t="s">
        <v>80</v>
      </c>
      <c r="C29" s="34"/>
      <c r="D29" s="36" t="s">
        <v>81</v>
      </c>
      <c r="E29" s="36" t="s">
        <v>82</v>
      </c>
      <c r="F29" s="36" t="s">
        <v>83</v>
      </c>
      <c r="G29" s="36" t="s">
        <v>84</v>
      </c>
      <c r="H29" s="36" t="s">
        <v>85</v>
      </c>
      <c r="I29" s="36">
        <v>5.0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44"/>
      <c r="B30" s="43" t="s">
        <v>51</v>
      </c>
      <c r="C30" s="25">
        <v>0.12</v>
      </c>
      <c r="D30" s="39" t="s">
        <v>52</v>
      </c>
      <c r="E30" s="27" t="s">
        <v>53</v>
      </c>
      <c r="F30" s="28" t="s">
        <v>54</v>
      </c>
      <c r="G30" s="40" t="s">
        <v>55</v>
      </c>
      <c r="H30" s="30" t="s">
        <v>56</v>
      </c>
      <c r="I30" s="31" t="s">
        <v>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44"/>
      <c r="B31" s="33" t="s">
        <v>80</v>
      </c>
      <c r="C31" s="34"/>
      <c r="D31" s="36" t="s">
        <v>81</v>
      </c>
      <c r="E31" s="36" t="s">
        <v>82</v>
      </c>
      <c r="F31" s="36" t="s">
        <v>83</v>
      </c>
      <c r="G31" s="36" t="s">
        <v>84</v>
      </c>
      <c r="H31" s="36" t="s">
        <v>85</v>
      </c>
      <c r="I31" s="36">
        <v>5.0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44"/>
      <c r="B32" s="43" t="s">
        <v>58</v>
      </c>
      <c r="C32" s="25">
        <v>0.09</v>
      </c>
      <c r="D32" s="39" t="s">
        <v>59</v>
      </c>
      <c r="E32" s="27" t="s">
        <v>98</v>
      </c>
      <c r="F32" s="28" t="s">
        <v>99</v>
      </c>
      <c r="G32" s="40" t="s">
        <v>100</v>
      </c>
      <c r="H32" s="30" t="s">
        <v>101</v>
      </c>
      <c r="I32" s="31" t="s">
        <v>64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44"/>
      <c r="B33" s="33" t="s">
        <v>80</v>
      </c>
      <c r="C33" s="34"/>
      <c r="D33" s="36" t="s">
        <v>81</v>
      </c>
      <c r="E33" s="36" t="s">
        <v>82</v>
      </c>
      <c r="F33" s="36" t="s">
        <v>83</v>
      </c>
      <c r="G33" s="36" t="s">
        <v>84</v>
      </c>
      <c r="H33" s="36" t="s">
        <v>85</v>
      </c>
      <c r="I33" s="36">
        <v>5.0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44"/>
      <c r="B34" s="43" t="s">
        <v>65</v>
      </c>
      <c r="C34" s="25">
        <v>0.09</v>
      </c>
      <c r="D34" s="39" t="s">
        <v>44</v>
      </c>
      <c r="E34" s="27" t="s">
        <v>97</v>
      </c>
      <c r="F34" s="28" t="s">
        <v>46</v>
      </c>
      <c r="G34" s="40" t="s">
        <v>47</v>
      </c>
      <c r="H34" s="30" t="s">
        <v>48</v>
      </c>
      <c r="I34" s="31" t="s">
        <v>49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44"/>
      <c r="B35" s="33" t="s">
        <v>80</v>
      </c>
      <c r="C35" s="34"/>
      <c r="D35" s="36" t="s">
        <v>81</v>
      </c>
      <c r="E35" s="36" t="s">
        <v>82</v>
      </c>
      <c r="F35" s="36" t="s">
        <v>83</v>
      </c>
      <c r="G35" s="36" t="s">
        <v>84</v>
      </c>
      <c r="H35" s="36" t="s">
        <v>85</v>
      </c>
      <c r="I35" s="36">
        <v>5.0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45" t="s">
        <v>102</v>
      </c>
      <c r="B36" s="19"/>
      <c r="C36" s="46">
        <f>SUM(C20:C34)</f>
        <v>1</v>
      </c>
      <c r="D36" s="47"/>
      <c r="E36" s="47"/>
      <c r="F36" s="47"/>
      <c r="G36" s="47"/>
      <c r="H36" s="47"/>
      <c r="I36" s="4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48"/>
      <c r="B37" s="19"/>
      <c r="C37" s="19"/>
      <c r="D37" s="19"/>
      <c r="E37" s="19"/>
      <c r="F37" s="19"/>
      <c r="G37" s="19"/>
      <c r="H37" s="19"/>
      <c r="I37" s="1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3"/>
      <c r="C38" s="1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3"/>
      <c r="C39" s="1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18" t="s">
        <v>103</v>
      </c>
      <c r="B40" s="19"/>
      <c r="C40" s="19"/>
      <c r="D40" s="19"/>
      <c r="E40" s="19"/>
      <c r="F40" s="19"/>
      <c r="G40" s="19"/>
      <c r="H40" s="19"/>
      <c r="I40" s="1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21" t="s">
        <v>0</v>
      </c>
      <c r="B41" s="21" t="s">
        <v>1</v>
      </c>
      <c r="C41" s="22" t="s">
        <v>2</v>
      </c>
      <c r="D41" s="21">
        <v>0.0</v>
      </c>
      <c r="E41" s="21">
        <v>1.0</v>
      </c>
      <c r="F41" s="21">
        <v>2.0</v>
      </c>
      <c r="G41" s="21" t="s">
        <v>6</v>
      </c>
      <c r="H41" s="21" t="s">
        <v>7</v>
      </c>
      <c r="I41" s="21" t="s">
        <v>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23" t="s">
        <v>9</v>
      </c>
      <c r="B42" s="24" t="s">
        <v>10</v>
      </c>
      <c r="C42" s="25">
        <v>0.04</v>
      </c>
      <c r="D42" s="39" t="s">
        <v>11</v>
      </c>
      <c r="E42" s="27" t="s">
        <v>79</v>
      </c>
      <c r="F42" s="28" t="s">
        <v>13</v>
      </c>
      <c r="G42" s="40" t="s">
        <v>14</v>
      </c>
      <c r="H42" s="30" t="s">
        <v>15</v>
      </c>
      <c r="I42" s="31" t="s">
        <v>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2"/>
      <c r="B43" s="33" t="s">
        <v>80</v>
      </c>
      <c r="C43" s="34"/>
      <c r="D43" s="36" t="s">
        <v>81</v>
      </c>
      <c r="E43" s="36" t="s">
        <v>82</v>
      </c>
      <c r="F43" s="36" t="s">
        <v>83</v>
      </c>
      <c r="G43" s="36" t="s">
        <v>84</v>
      </c>
      <c r="H43" s="36" t="s">
        <v>85</v>
      </c>
      <c r="I43" s="36">
        <v>5.0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2"/>
      <c r="B44" s="24" t="s">
        <v>17</v>
      </c>
      <c r="C44" s="25">
        <v>0.04</v>
      </c>
      <c r="D44" s="39" t="s">
        <v>86</v>
      </c>
      <c r="E44" s="27" t="s">
        <v>87</v>
      </c>
      <c r="F44" s="28" t="s">
        <v>88</v>
      </c>
      <c r="G44" s="40" t="s">
        <v>89</v>
      </c>
      <c r="H44" s="30" t="s">
        <v>90</v>
      </c>
      <c r="I44" s="31" t="s">
        <v>23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2"/>
      <c r="B45" s="33" t="s">
        <v>80</v>
      </c>
      <c r="C45" s="34"/>
      <c r="D45" s="36" t="s">
        <v>81</v>
      </c>
      <c r="E45" s="36" t="s">
        <v>82</v>
      </c>
      <c r="F45" s="36" t="s">
        <v>83</v>
      </c>
      <c r="G45" s="36" t="s">
        <v>84</v>
      </c>
      <c r="H45" s="36" t="s">
        <v>85</v>
      </c>
      <c r="I45" s="36">
        <v>5.0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49" t="s">
        <v>24</v>
      </c>
      <c r="B46" s="50" t="s">
        <v>25</v>
      </c>
      <c r="C46" s="25">
        <v>0.125</v>
      </c>
      <c r="D46" s="39" t="s">
        <v>26</v>
      </c>
      <c r="E46" s="27" t="s">
        <v>104</v>
      </c>
      <c r="F46" s="28" t="s">
        <v>105</v>
      </c>
      <c r="G46" s="40" t="s">
        <v>106</v>
      </c>
      <c r="H46" s="30" t="s">
        <v>107</v>
      </c>
      <c r="I46" s="31" t="s">
        <v>16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51"/>
      <c r="B47" s="33" t="s">
        <v>80</v>
      </c>
      <c r="C47" s="34"/>
      <c r="D47" s="36" t="s">
        <v>81</v>
      </c>
      <c r="E47" s="36" t="s">
        <v>82</v>
      </c>
      <c r="F47" s="36" t="s">
        <v>83</v>
      </c>
      <c r="G47" s="36" t="s">
        <v>84</v>
      </c>
      <c r="H47" s="36" t="s">
        <v>85</v>
      </c>
      <c r="I47" s="36">
        <v>5.0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7" t="s">
        <v>32</v>
      </c>
      <c r="B48" s="38" t="s">
        <v>33</v>
      </c>
      <c r="C48" s="25">
        <v>0.105</v>
      </c>
      <c r="D48" s="39" t="s">
        <v>34</v>
      </c>
      <c r="E48" s="27" t="s">
        <v>91</v>
      </c>
      <c r="F48" s="28" t="s">
        <v>92</v>
      </c>
      <c r="G48" s="40" t="s">
        <v>93</v>
      </c>
      <c r="H48" s="30" t="s">
        <v>94</v>
      </c>
      <c r="I48" s="31" t="s">
        <v>95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41"/>
      <c r="B49" s="33" t="s">
        <v>80</v>
      </c>
      <c r="C49" s="34"/>
      <c r="D49" s="36" t="s">
        <v>81</v>
      </c>
      <c r="E49" s="36" t="s">
        <v>82</v>
      </c>
      <c r="F49" s="36" t="s">
        <v>83</v>
      </c>
      <c r="G49" s="36" t="s">
        <v>84</v>
      </c>
      <c r="H49" s="36" t="s">
        <v>85</v>
      </c>
      <c r="I49" s="36">
        <v>5.0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41"/>
      <c r="B50" s="38" t="s">
        <v>40</v>
      </c>
      <c r="C50" s="25">
        <v>0.105</v>
      </c>
      <c r="D50" s="39" t="s">
        <v>34</v>
      </c>
      <c r="E50" s="27" t="s">
        <v>96</v>
      </c>
      <c r="F50" s="28" t="s">
        <v>92</v>
      </c>
      <c r="G50" s="40" t="s">
        <v>93</v>
      </c>
      <c r="H50" s="30" t="s">
        <v>94</v>
      </c>
      <c r="I50" s="31" t="s">
        <v>95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41"/>
      <c r="B51" s="33" t="s">
        <v>80</v>
      </c>
      <c r="C51" s="34"/>
      <c r="D51" s="36" t="s">
        <v>81</v>
      </c>
      <c r="E51" s="36" t="s">
        <v>82</v>
      </c>
      <c r="F51" s="36" t="s">
        <v>83</v>
      </c>
      <c r="G51" s="36" t="s">
        <v>84</v>
      </c>
      <c r="H51" s="36" t="s">
        <v>85</v>
      </c>
      <c r="I51" s="36">
        <v>5.0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42" t="s">
        <v>42</v>
      </c>
      <c r="B52" s="43" t="s">
        <v>43</v>
      </c>
      <c r="C52" s="25">
        <v>0.21</v>
      </c>
      <c r="D52" s="39" t="s">
        <v>44</v>
      </c>
      <c r="E52" s="27" t="s">
        <v>97</v>
      </c>
      <c r="F52" s="28" t="s">
        <v>46</v>
      </c>
      <c r="G52" s="40" t="s">
        <v>47</v>
      </c>
      <c r="H52" s="30" t="s">
        <v>48</v>
      </c>
      <c r="I52" s="31" t="s">
        <v>49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44"/>
      <c r="B53" s="33" t="s">
        <v>80</v>
      </c>
      <c r="C53" s="34"/>
      <c r="D53" s="36" t="s">
        <v>81</v>
      </c>
      <c r="E53" s="36" t="s">
        <v>82</v>
      </c>
      <c r="F53" s="36" t="s">
        <v>83</v>
      </c>
      <c r="G53" s="36" t="s">
        <v>84</v>
      </c>
      <c r="H53" s="36" t="s">
        <v>85</v>
      </c>
      <c r="I53" s="36">
        <v>5.0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44"/>
      <c r="B54" s="43" t="s">
        <v>51</v>
      </c>
      <c r="C54" s="25">
        <v>0.085</v>
      </c>
      <c r="D54" s="39" t="s">
        <v>52</v>
      </c>
      <c r="E54" s="27" t="s">
        <v>53</v>
      </c>
      <c r="F54" s="28" t="s">
        <v>54</v>
      </c>
      <c r="G54" s="40" t="s">
        <v>55</v>
      </c>
      <c r="H54" s="30" t="s">
        <v>56</v>
      </c>
      <c r="I54" s="31" t="s">
        <v>57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44"/>
      <c r="B55" s="33" t="s">
        <v>80</v>
      </c>
      <c r="C55" s="34"/>
      <c r="D55" s="36" t="s">
        <v>81</v>
      </c>
      <c r="E55" s="36" t="s">
        <v>82</v>
      </c>
      <c r="F55" s="36" t="s">
        <v>83</v>
      </c>
      <c r="G55" s="36" t="s">
        <v>84</v>
      </c>
      <c r="H55" s="36" t="s">
        <v>85</v>
      </c>
      <c r="I55" s="36">
        <v>5.0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44"/>
      <c r="B56" s="43" t="s">
        <v>58</v>
      </c>
      <c r="C56" s="25">
        <v>0.065</v>
      </c>
      <c r="D56" s="39" t="s">
        <v>59</v>
      </c>
      <c r="E56" s="27" t="s">
        <v>98</v>
      </c>
      <c r="F56" s="28" t="s">
        <v>99</v>
      </c>
      <c r="G56" s="40" t="s">
        <v>100</v>
      </c>
      <c r="H56" s="30" t="s">
        <v>101</v>
      </c>
      <c r="I56" s="31" t="s">
        <v>64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44"/>
      <c r="B57" s="33" t="s">
        <v>80</v>
      </c>
      <c r="C57" s="34"/>
      <c r="D57" s="36" t="s">
        <v>81</v>
      </c>
      <c r="E57" s="36" t="s">
        <v>82</v>
      </c>
      <c r="F57" s="36" t="s">
        <v>83</v>
      </c>
      <c r="G57" s="36" t="s">
        <v>84</v>
      </c>
      <c r="H57" s="36" t="s">
        <v>85</v>
      </c>
      <c r="I57" s="36">
        <v>5.0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44"/>
      <c r="B58" s="43" t="s">
        <v>65</v>
      </c>
      <c r="C58" s="25">
        <v>0.065</v>
      </c>
      <c r="D58" s="39" t="s">
        <v>44</v>
      </c>
      <c r="E58" s="27" t="s">
        <v>97</v>
      </c>
      <c r="F58" s="28" t="s">
        <v>46</v>
      </c>
      <c r="G58" s="40" t="s">
        <v>47</v>
      </c>
      <c r="H58" s="30" t="s">
        <v>48</v>
      </c>
      <c r="I58" s="31" t="s">
        <v>49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44"/>
      <c r="B59" s="33" t="s">
        <v>80</v>
      </c>
      <c r="C59" s="34"/>
      <c r="D59" s="36" t="s">
        <v>81</v>
      </c>
      <c r="E59" s="36" t="s">
        <v>82</v>
      </c>
      <c r="F59" s="36" t="s">
        <v>83</v>
      </c>
      <c r="G59" s="36" t="s">
        <v>84</v>
      </c>
      <c r="H59" s="36" t="s">
        <v>85</v>
      </c>
      <c r="I59" s="36">
        <v>5.0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44"/>
      <c r="B60" s="43" t="s">
        <v>66</v>
      </c>
      <c r="C60" s="25">
        <v>0.105</v>
      </c>
      <c r="D60" s="39" t="s">
        <v>67</v>
      </c>
      <c r="E60" s="27" t="s">
        <v>68</v>
      </c>
      <c r="F60" s="28" t="s">
        <v>69</v>
      </c>
      <c r="G60" s="40" t="s">
        <v>70</v>
      </c>
      <c r="H60" s="30" t="s">
        <v>71</v>
      </c>
      <c r="I60" s="31" t="s">
        <v>72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44"/>
      <c r="B61" s="33" t="s">
        <v>80</v>
      </c>
      <c r="C61" s="34"/>
      <c r="D61" s="36" t="s">
        <v>81</v>
      </c>
      <c r="E61" s="36" t="s">
        <v>82</v>
      </c>
      <c r="F61" s="36" t="s">
        <v>83</v>
      </c>
      <c r="G61" s="36" t="s">
        <v>84</v>
      </c>
      <c r="H61" s="36" t="s">
        <v>85</v>
      </c>
      <c r="I61" s="36">
        <v>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44"/>
      <c r="B62" s="43" t="s">
        <v>73</v>
      </c>
      <c r="C62" s="25">
        <v>0.055</v>
      </c>
      <c r="D62" s="39" t="s">
        <v>67</v>
      </c>
      <c r="E62" s="27" t="s">
        <v>68</v>
      </c>
      <c r="F62" s="28" t="s">
        <v>69</v>
      </c>
      <c r="G62" s="40" t="s">
        <v>70</v>
      </c>
      <c r="H62" s="30" t="s">
        <v>71</v>
      </c>
      <c r="I62" s="31" t="s">
        <v>72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44"/>
      <c r="B63" s="33" t="s">
        <v>80</v>
      </c>
      <c r="C63" s="34"/>
      <c r="D63" s="36" t="s">
        <v>81</v>
      </c>
      <c r="E63" s="36" t="s">
        <v>82</v>
      </c>
      <c r="F63" s="36" t="s">
        <v>83</v>
      </c>
      <c r="G63" s="36" t="s">
        <v>84</v>
      </c>
      <c r="H63" s="36" t="s">
        <v>85</v>
      </c>
      <c r="I63" s="36">
        <v>5.0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52" t="s">
        <v>74</v>
      </c>
      <c r="B64" s="53" t="s">
        <v>75</v>
      </c>
      <c r="C64" s="25" t="s">
        <v>81</v>
      </c>
      <c r="D64" s="54"/>
      <c r="E64" s="54" t="s">
        <v>108</v>
      </c>
      <c r="F64" s="54"/>
      <c r="G64" s="40" t="s">
        <v>109</v>
      </c>
      <c r="H64" s="40"/>
      <c r="I64" s="4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55"/>
      <c r="B65" s="33" t="s">
        <v>80</v>
      </c>
      <c r="C65" s="34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45" t="s">
        <v>102</v>
      </c>
      <c r="B66" s="19"/>
      <c r="C66" s="46">
        <f>SUM(C42:C64)</f>
        <v>1</v>
      </c>
      <c r="D66" s="47"/>
      <c r="E66" s="47"/>
      <c r="F66" s="47"/>
      <c r="G66" s="47"/>
      <c r="H66" s="47"/>
      <c r="I66" s="4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48"/>
      <c r="B67" s="19"/>
      <c r="C67" s="19"/>
      <c r="D67" s="19"/>
      <c r="E67" s="19"/>
      <c r="F67" s="19"/>
      <c r="G67" s="19"/>
      <c r="H67" s="19"/>
      <c r="I67" s="1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1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1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18" t="s">
        <v>110</v>
      </c>
      <c r="B70" s="19"/>
      <c r="C70" s="19"/>
      <c r="D70" s="19"/>
      <c r="E70" s="19"/>
      <c r="F70" s="19"/>
      <c r="G70" s="19"/>
      <c r="H70" s="19"/>
      <c r="I70" s="1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21" t="s">
        <v>0</v>
      </c>
      <c r="B71" s="21" t="s">
        <v>1</v>
      </c>
      <c r="C71" s="22" t="s">
        <v>2</v>
      </c>
      <c r="D71" s="21">
        <v>0.0</v>
      </c>
      <c r="E71" s="21">
        <v>1.0</v>
      </c>
      <c r="F71" s="21">
        <v>2.0</v>
      </c>
      <c r="G71" s="21" t="s">
        <v>6</v>
      </c>
      <c r="H71" s="21" t="s">
        <v>7</v>
      </c>
      <c r="I71" s="21" t="s">
        <v>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23" t="s">
        <v>9</v>
      </c>
      <c r="B72" s="24" t="s">
        <v>10</v>
      </c>
      <c r="C72" s="25">
        <v>0.04</v>
      </c>
      <c r="D72" s="39" t="s">
        <v>11</v>
      </c>
      <c r="E72" s="27" t="s">
        <v>79</v>
      </c>
      <c r="F72" s="28" t="s">
        <v>13</v>
      </c>
      <c r="G72" s="40" t="s">
        <v>14</v>
      </c>
      <c r="H72" s="30" t="s">
        <v>15</v>
      </c>
      <c r="I72" s="31" t="s">
        <v>31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2"/>
      <c r="B73" s="33" t="s">
        <v>80</v>
      </c>
      <c r="C73" s="34"/>
      <c r="D73" s="36" t="s">
        <v>81</v>
      </c>
      <c r="E73" s="36" t="s">
        <v>82</v>
      </c>
      <c r="F73" s="36" t="s">
        <v>83</v>
      </c>
      <c r="G73" s="36" t="s">
        <v>84</v>
      </c>
      <c r="H73" s="36" t="s">
        <v>85</v>
      </c>
      <c r="I73" s="36">
        <v>5.0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2"/>
      <c r="B74" s="24" t="s">
        <v>17</v>
      </c>
      <c r="C74" s="25">
        <v>0.04</v>
      </c>
      <c r="D74" s="39" t="s">
        <v>86</v>
      </c>
      <c r="E74" s="27" t="s">
        <v>87</v>
      </c>
      <c r="F74" s="28" t="s">
        <v>88</v>
      </c>
      <c r="G74" s="40" t="s">
        <v>89</v>
      </c>
      <c r="H74" s="30" t="s">
        <v>90</v>
      </c>
      <c r="I74" s="31" t="s">
        <v>23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2"/>
      <c r="B75" s="33" t="s">
        <v>80</v>
      </c>
      <c r="C75" s="34"/>
      <c r="D75" s="36" t="s">
        <v>81</v>
      </c>
      <c r="E75" s="36" t="s">
        <v>82</v>
      </c>
      <c r="F75" s="36" t="s">
        <v>83</v>
      </c>
      <c r="G75" s="36" t="s">
        <v>84</v>
      </c>
      <c r="H75" s="36" t="s">
        <v>85</v>
      </c>
      <c r="I75" s="36">
        <v>5.0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49" t="s">
        <v>24</v>
      </c>
      <c r="B76" s="50" t="s">
        <v>25</v>
      </c>
      <c r="C76" s="25">
        <v>0.125</v>
      </c>
      <c r="D76" s="39" t="s">
        <v>26</v>
      </c>
      <c r="E76" s="27" t="s">
        <v>104</v>
      </c>
      <c r="F76" s="28" t="s">
        <v>105</v>
      </c>
      <c r="G76" s="40" t="s">
        <v>106</v>
      </c>
      <c r="H76" s="30" t="s">
        <v>107</v>
      </c>
      <c r="I76" s="31" t="s">
        <v>16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51"/>
      <c r="B77" s="33" t="s">
        <v>80</v>
      </c>
      <c r="C77" s="34"/>
      <c r="D77" s="36" t="s">
        <v>81</v>
      </c>
      <c r="E77" s="36" t="s">
        <v>82</v>
      </c>
      <c r="F77" s="36" t="s">
        <v>83</v>
      </c>
      <c r="G77" s="36" t="s">
        <v>84</v>
      </c>
      <c r="H77" s="36" t="s">
        <v>85</v>
      </c>
      <c r="I77" s="36">
        <v>5.0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7" t="s">
        <v>32</v>
      </c>
      <c r="B78" s="38" t="s">
        <v>33</v>
      </c>
      <c r="C78" s="25">
        <v>0.105</v>
      </c>
      <c r="D78" s="39" t="s">
        <v>34</v>
      </c>
      <c r="E78" s="27" t="s">
        <v>91</v>
      </c>
      <c r="F78" s="28" t="s">
        <v>92</v>
      </c>
      <c r="G78" s="40" t="s">
        <v>93</v>
      </c>
      <c r="H78" s="30" t="s">
        <v>94</v>
      </c>
      <c r="I78" s="31" t="s">
        <v>95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41"/>
      <c r="B79" s="33" t="s">
        <v>80</v>
      </c>
      <c r="C79" s="34"/>
      <c r="D79" s="36" t="s">
        <v>81</v>
      </c>
      <c r="E79" s="36" t="s">
        <v>82</v>
      </c>
      <c r="F79" s="36" t="s">
        <v>83</v>
      </c>
      <c r="G79" s="36" t="s">
        <v>84</v>
      </c>
      <c r="H79" s="36" t="s">
        <v>85</v>
      </c>
      <c r="I79" s="36">
        <v>5.0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41"/>
      <c r="B80" s="38" t="s">
        <v>40</v>
      </c>
      <c r="C80" s="25">
        <v>0.105</v>
      </c>
      <c r="D80" s="39" t="s">
        <v>34</v>
      </c>
      <c r="E80" s="27" t="s">
        <v>96</v>
      </c>
      <c r="F80" s="28" t="s">
        <v>92</v>
      </c>
      <c r="G80" s="40" t="s">
        <v>93</v>
      </c>
      <c r="H80" s="30" t="s">
        <v>94</v>
      </c>
      <c r="I80" s="31" t="s">
        <v>95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41"/>
      <c r="B81" s="33" t="s">
        <v>80</v>
      </c>
      <c r="C81" s="34"/>
      <c r="D81" s="36" t="s">
        <v>81</v>
      </c>
      <c r="E81" s="36" t="s">
        <v>82</v>
      </c>
      <c r="F81" s="36" t="s">
        <v>83</v>
      </c>
      <c r="G81" s="36" t="s">
        <v>84</v>
      </c>
      <c r="H81" s="36" t="s">
        <v>85</v>
      </c>
      <c r="I81" s="36">
        <v>5.0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42" t="s">
        <v>42</v>
      </c>
      <c r="B82" s="43" t="s">
        <v>43</v>
      </c>
      <c r="C82" s="25">
        <v>0.21</v>
      </c>
      <c r="D82" s="39" t="s">
        <v>44</v>
      </c>
      <c r="E82" s="27" t="s">
        <v>97</v>
      </c>
      <c r="F82" s="28" t="s">
        <v>46</v>
      </c>
      <c r="G82" s="40" t="s">
        <v>47</v>
      </c>
      <c r="H82" s="30" t="s">
        <v>48</v>
      </c>
      <c r="I82" s="31" t="s">
        <v>49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44"/>
      <c r="B83" s="33" t="s">
        <v>80</v>
      </c>
      <c r="C83" s="34"/>
      <c r="D83" s="36" t="s">
        <v>81</v>
      </c>
      <c r="E83" s="36" t="s">
        <v>82</v>
      </c>
      <c r="F83" s="36" t="s">
        <v>83</v>
      </c>
      <c r="G83" s="36" t="s">
        <v>84</v>
      </c>
      <c r="H83" s="36" t="s">
        <v>85</v>
      </c>
      <c r="I83" s="36">
        <v>5.0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44"/>
      <c r="B84" s="43" t="s">
        <v>51</v>
      </c>
      <c r="C84" s="25">
        <v>0.085</v>
      </c>
      <c r="D84" s="39" t="s">
        <v>52</v>
      </c>
      <c r="E84" s="27" t="s">
        <v>53</v>
      </c>
      <c r="F84" s="28" t="s">
        <v>54</v>
      </c>
      <c r="G84" s="40" t="s">
        <v>55</v>
      </c>
      <c r="H84" s="30" t="s">
        <v>56</v>
      </c>
      <c r="I84" s="31" t="s">
        <v>57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44"/>
      <c r="B85" s="33" t="s">
        <v>80</v>
      </c>
      <c r="C85" s="34"/>
      <c r="D85" s="36" t="s">
        <v>81</v>
      </c>
      <c r="E85" s="36" t="s">
        <v>82</v>
      </c>
      <c r="F85" s="36" t="s">
        <v>83</v>
      </c>
      <c r="G85" s="36" t="s">
        <v>84</v>
      </c>
      <c r="H85" s="36" t="s">
        <v>85</v>
      </c>
      <c r="I85" s="36">
        <v>5.0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44"/>
      <c r="B86" s="43" t="s">
        <v>58</v>
      </c>
      <c r="C86" s="25">
        <v>0.065</v>
      </c>
      <c r="D86" s="39" t="s">
        <v>59</v>
      </c>
      <c r="E86" s="27" t="s">
        <v>98</v>
      </c>
      <c r="F86" s="28" t="s">
        <v>99</v>
      </c>
      <c r="G86" s="40" t="s">
        <v>100</v>
      </c>
      <c r="H86" s="30" t="s">
        <v>101</v>
      </c>
      <c r="I86" s="31" t="s">
        <v>64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44"/>
      <c r="B87" s="33" t="s">
        <v>80</v>
      </c>
      <c r="C87" s="34"/>
      <c r="D87" s="36" t="s">
        <v>81</v>
      </c>
      <c r="E87" s="36" t="s">
        <v>82</v>
      </c>
      <c r="F87" s="36" t="s">
        <v>83</v>
      </c>
      <c r="G87" s="36" t="s">
        <v>84</v>
      </c>
      <c r="H87" s="36" t="s">
        <v>85</v>
      </c>
      <c r="I87" s="36">
        <v>5.0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44"/>
      <c r="B88" s="43" t="s">
        <v>65</v>
      </c>
      <c r="C88" s="25">
        <v>0.065</v>
      </c>
      <c r="D88" s="39" t="s">
        <v>44</v>
      </c>
      <c r="E88" s="27" t="s">
        <v>97</v>
      </c>
      <c r="F88" s="28" t="s">
        <v>46</v>
      </c>
      <c r="G88" s="40" t="s">
        <v>47</v>
      </c>
      <c r="H88" s="30" t="s">
        <v>48</v>
      </c>
      <c r="I88" s="31" t="s">
        <v>49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44"/>
      <c r="B89" s="33" t="s">
        <v>80</v>
      </c>
      <c r="C89" s="34"/>
      <c r="D89" s="36" t="s">
        <v>81</v>
      </c>
      <c r="E89" s="36" t="s">
        <v>82</v>
      </c>
      <c r="F89" s="36" t="s">
        <v>83</v>
      </c>
      <c r="G89" s="36" t="s">
        <v>84</v>
      </c>
      <c r="H89" s="36" t="s">
        <v>85</v>
      </c>
      <c r="I89" s="36">
        <v>5.0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44"/>
      <c r="B90" s="43" t="s">
        <v>66</v>
      </c>
      <c r="C90" s="25">
        <v>0.105</v>
      </c>
      <c r="D90" s="39" t="s">
        <v>67</v>
      </c>
      <c r="E90" s="27" t="s">
        <v>68</v>
      </c>
      <c r="F90" s="28" t="s">
        <v>69</v>
      </c>
      <c r="G90" s="40" t="s">
        <v>70</v>
      </c>
      <c r="H90" s="30" t="s">
        <v>71</v>
      </c>
      <c r="I90" s="31" t="s">
        <v>72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44"/>
      <c r="B91" s="33" t="s">
        <v>80</v>
      </c>
      <c r="C91" s="34"/>
      <c r="D91" s="36" t="s">
        <v>81</v>
      </c>
      <c r="E91" s="36" t="s">
        <v>82</v>
      </c>
      <c r="F91" s="36" t="s">
        <v>83</v>
      </c>
      <c r="G91" s="36" t="s">
        <v>84</v>
      </c>
      <c r="H91" s="36" t="s">
        <v>85</v>
      </c>
      <c r="I91" s="36">
        <v>5.0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44"/>
      <c r="B92" s="43" t="s">
        <v>73</v>
      </c>
      <c r="C92" s="25">
        <v>0.055</v>
      </c>
      <c r="D92" s="39" t="s">
        <v>67</v>
      </c>
      <c r="E92" s="27" t="s">
        <v>68</v>
      </c>
      <c r="F92" s="28" t="s">
        <v>69</v>
      </c>
      <c r="G92" s="40" t="s">
        <v>70</v>
      </c>
      <c r="H92" s="30" t="s">
        <v>71</v>
      </c>
      <c r="I92" s="31" t="s">
        <v>72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44"/>
      <c r="B93" s="33" t="s">
        <v>80</v>
      </c>
      <c r="C93" s="34"/>
      <c r="D93" s="36" t="s">
        <v>81</v>
      </c>
      <c r="E93" s="36" t="s">
        <v>82</v>
      </c>
      <c r="F93" s="36" t="s">
        <v>83</v>
      </c>
      <c r="G93" s="36" t="s">
        <v>84</v>
      </c>
      <c r="H93" s="36" t="s">
        <v>85</v>
      </c>
      <c r="I93" s="36">
        <v>5.0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52" t="s">
        <v>74</v>
      </c>
      <c r="B94" s="53" t="s">
        <v>75</v>
      </c>
      <c r="C94" s="25" t="s">
        <v>81</v>
      </c>
      <c r="D94" s="54"/>
      <c r="E94" s="54" t="s">
        <v>108</v>
      </c>
      <c r="F94" s="54"/>
      <c r="G94" s="40" t="s">
        <v>109</v>
      </c>
      <c r="H94" s="40"/>
      <c r="I94" s="40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55"/>
      <c r="B95" s="33" t="s">
        <v>80</v>
      </c>
      <c r="C95" s="34"/>
      <c r="D95" s="36"/>
      <c r="E95" s="36"/>
      <c r="F95" s="36"/>
      <c r="G95" s="36"/>
      <c r="H95" s="36"/>
      <c r="I95" s="3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45" t="s">
        <v>102</v>
      </c>
      <c r="B96" s="19"/>
      <c r="C96" s="46">
        <f>SUM(C72:C94)</f>
        <v>1</v>
      </c>
      <c r="D96" s="47"/>
      <c r="E96" s="47"/>
      <c r="F96" s="47"/>
      <c r="G96" s="47"/>
      <c r="H96" s="47"/>
      <c r="I96" s="4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48"/>
      <c r="B97" s="19"/>
      <c r="C97" s="19"/>
      <c r="D97" s="19"/>
      <c r="E97" s="19"/>
      <c r="F97" s="19"/>
      <c r="G97" s="19"/>
      <c r="H97" s="19"/>
      <c r="I97" s="1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1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1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1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1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1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1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1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1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1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1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1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1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1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1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1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1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1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1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1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1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1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1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1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1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1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1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1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1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1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1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1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1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1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1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1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1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1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1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1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1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1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1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1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1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1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1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1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1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1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1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1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1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1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1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1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1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1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1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1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1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1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1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1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1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1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1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1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1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1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1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1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1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1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1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1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1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1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1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1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1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1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1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1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1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1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1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1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1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1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1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1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1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1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1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1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1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1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1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1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1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1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1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1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>
      <c r="A201" s="3"/>
      <c r="B201" s="3"/>
      <c r="C201" s="1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5.75" customHeight="1">
      <c r="A202" s="3"/>
      <c r="B202" s="3"/>
      <c r="C202" s="1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5.75" customHeight="1">
      <c r="A203" s="3"/>
      <c r="B203" s="3"/>
      <c r="C203" s="1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5.75" customHeight="1">
      <c r="A204" s="3"/>
      <c r="B204" s="3"/>
      <c r="C204" s="1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5.75" customHeight="1">
      <c r="A205" s="3"/>
      <c r="B205" s="3"/>
      <c r="C205" s="1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5.75" customHeight="1">
      <c r="A206" s="3"/>
      <c r="B206" s="3"/>
      <c r="C206" s="1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5.75" customHeight="1">
      <c r="A207" s="3"/>
      <c r="B207" s="3"/>
      <c r="C207" s="1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5.75" customHeight="1">
      <c r="A208" s="3"/>
      <c r="B208" s="3"/>
      <c r="C208" s="1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5.75" customHeight="1">
      <c r="A209" s="3"/>
      <c r="B209" s="3"/>
      <c r="C209" s="1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5.75" customHeight="1">
      <c r="A210" s="3"/>
      <c r="B210" s="3"/>
      <c r="C210" s="1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5.75" customHeight="1">
      <c r="A211" s="3"/>
      <c r="B211" s="3"/>
      <c r="C211" s="1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5.75" customHeight="1">
      <c r="A212" s="3"/>
      <c r="B212" s="3"/>
      <c r="C212" s="1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5.75" customHeight="1">
      <c r="A213" s="3"/>
      <c r="B213" s="3"/>
      <c r="C213" s="1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5.75" customHeight="1">
      <c r="A214" s="3"/>
      <c r="B214" s="3"/>
      <c r="C214" s="1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5.75" customHeight="1">
      <c r="A215" s="3"/>
      <c r="B215" s="3"/>
      <c r="C215" s="1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5.75" customHeight="1">
      <c r="A216" s="3"/>
      <c r="B216" s="3"/>
      <c r="C216" s="1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5.75" customHeight="1">
      <c r="A217" s="3"/>
      <c r="B217" s="3"/>
      <c r="C217" s="1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5.75" customHeight="1">
      <c r="A218" s="3"/>
      <c r="B218" s="3"/>
      <c r="C218" s="1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5.75" customHeight="1">
      <c r="A219" s="3"/>
      <c r="B219" s="3"/>
      <c r="C219" s="1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5.75" customHeight="1">
      <c r="A220" s="3"/>
      <c r="B220" s="3"/>
      <c r="C220" s="1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5.75" customHeight="1">
      <c r="A221" s="3"/>
      <c r="B221" s="3"/>
      <c r="C221" s="1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5.75" customHeight="1">
      <c r="A222" s="3"/>
      <c r="B222" s="3"/>
      <c r="C222" s="1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5.75" customHeight="1">
      <c r="A223" s="3"/>
      <c r="B223" s="3"/>
      <c r="C223" s="1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5.75" customHeight="1">
      <c r="A224" s="3"/>
      <c r="B224" s="3"/>
      <c r="C224" s="1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5.75" customHeight="1">
      <c r="A225" s="3"/>
      <c r="B225" s="3"/>
      <c r="C225" s="1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5.75" customHeight="1">
      <c r="A226" s="3"/>
      <c r="B226" s="3"/>
      <c r="C226" s="1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5.75" customHeight="1">
      <c r="A227" s="3"/>
      <c r="B227" s="3"/>
      <c r="C227" s="1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5.75" customHeight="1">
      <c r="A228" s="3"/>
      <c r="B228" s="3"/>
      <c r="C228" s="1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5.75" customHeight="1">
      <c r="A229" s="3"/>
      <c r="B229" s="3"/>
      <c r="C229" s="1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5.75" customHeight="1">
      <c r="A230" s="3"/>
      <c r="B230" s="3"/>
      <c r="C230" s="1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5.75" customHeight="1">
      <c r="A231" s="3"/>
      <c r="B231" s="3"/>
      <c r="C231" s="1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5.75" customHeight="1">
      <c r="A232" s="3"/>
      <c r="B232" s="3"/>
      <c r="C232" s="1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5.75" customHeight="1">
      <c r="A233" s="3"/>
      <c r="B233" s="3"/>
      <c r="C233" s="1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5.75" customHeight="1">
      <c r="A234" s="3"/>
      <c r="B234" s="3"/>
      <c r="C234" s="1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5.75" customHeight="1">
      <c r="A235" s="3"/>
      <c r="B235" s="3"/>
      <c r="C235" s="1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5.75" customHeight="1">
      <c r="A236" s="3"/>
      <c r="B236" s="3"/>
      <c r="C236" s="1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5.75" customHeight="1">
      <c r="A237" s="3"/>
      <c r="B237" s="3"/>
      <c r="C237" s="1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5.75" customHeight="1">
      <c r="A238" s="3"/>
      <c r="B238" s="3"/>
      <c r="C238" s="1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5.75" customHeight="1">
      <c r="A239" s="3"/>
      <c r="B239" s="3"/>
      <c r="C239" s="1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5.75" customHeight="1">
      <c r="A240" s="3"/>
      <c r="B240" s="3"/>
      <c r="C240" s="1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5.75" customHeight="1">
      <c r="A241" s="3"/>
      <c r="B241" s="3"/>
      <c r="C241" s="1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5.75" customHeight="1">
      <c r="A242" s="3"/>
      <c r="B242" s="3"/>
      <c r="C242" s="1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5.75" customHeight="1">
      <c r="A243" s="3"/>
      <c r="B243" s="3"/>
      <c r="C243" s="1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5.75" customHeight="1">
      <c r="A244" s="3"/>
      <c r="B244" s="3"/>
      <c r="C244" s="1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5.75" customHeight="1">
      <c r="A245" s="3"/>
      <c r="B245" s="3"/>
      <c r="C245" s="1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5.75" customHeight="1">
      <c r="A246" s="3"/>
      <c r="B246" s="3"/>
      <c r="C246" s="1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5.75" customHeight="1">
      <c r="A247" s="3"/>
      <c r="B247" s="3"/>
      <c r="C247" s="1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5.75" customHeight="1">
      <c r="A248" s="3"/>
      <c r="B248" s="3"/>
      <c r="C248" s="1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5.75" customHeight="1">
      <c r="A249" s="3"/>
      <c r="B249" s="3"/>
      <c r="C249" s="1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5.75" customHeight="1">
      <c r="A250" s="3"/>
      <c r="B250" s="3"/>
      <c r="C250" s="1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5.75" customHeight="1">
      <c r="A251" s="3"/>
      <c r="B251" s="3"/>
      <c r="C251" s="1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5.75" customHeight="1">
      <c r="A252" s="3"/>
      <c r="B252" s="3"/>
      <c r="C252" s="1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5.75" customHeight="1">
      <c r="A253" s="3"/>
      <c r="B253" s="3"/>
      <c r="C253" s="1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5.75" customHeight="1">
      <c r="A254" s="3"/>
      <c r="B254" s="3"/>
      <c r="C254" s="1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5.75" customHeight="1">
      <c r="A255" s="3"/>
      <c r="B255" s="3"/>
      <c r="C255" s="1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5.75" customHeight="1">
      <c r="A256" s="3"/>
      <c r="B256" s="3"/>
      <c r="C256" s="1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5.75" customHeight="1">
      <c r="A257" s="3"/>
      <c r="B257" s="3"/>
      <c r="C257" s="1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5.75" customHeight="1">
      <c r="A258" s="3"/>
      <c r="B258" s="3"/>
      <c r="C258" s="1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5.75" customHeight="1">
      <c r="A259" s="3"/>
      <c r="B259" s="3"/>
      <c r="C259" s="1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5.75" customHeight="1">
      <c r="A260" s="3"/>
      <c r="B260" s="3"/>
      <c r="C260" s="1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5.75" customHeight="1">
      <c r="A261" s="3"/>
      <c r="B261" s="3"/>
      <c r="C261" s="1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5.75" customHeight="1">
      <c r="A262" s="3"/>
      <c r="B262" s="3"/>
      <c r="C262" s="1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5.75" customHeight="1">
      <c r="A263" s="3"/>
      <c r="B263" s="3"/>
      <c r="C263" s="1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5.75" customHeight="1">
      <c r="A264" s="3"/>
      <c r="B264" s="3"/>
      <c r="C264" s="1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5.75" customHeight="1">
      <c r="A265" s="3"/>
      <c r="B265" s="3"/>
      <c r="C265" s="1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5.75" customHeight="1">
      <c r="A266" s="3"/>
      <c r="B266" s="3"/>
      <c r="C266" s="1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5.75" customHeight="1">
      <c r="A267" s="3"/>
      <c r="B267" s="3"/>
      <c r="C267" s="1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5.75" customHeight="1">
      <c r="A268" s="3"/>
      <c r="B268" s="3"/>
      <c r="C268" s="1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5.75" customHeight="1">
      <c r="A269" s="3"/>
      <c r="B269" s="3"/>
      <c r="C269" s="1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5.75" customHeight="1">
      <c r="A270" s="3"/>
      <c r="B270" s="3"/>
      <c r="C270" s="1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5.75" customHeight="1">
      <c r="A271" s="3"/>
      <c r="B271" s="3"/>
      <c r="C271" s="1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5.75" customHeight="1">
      <c r="A272" s="3"/>
      <c r="B272" s="3"/>
      <c r="C272" s="1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5.75" customHeight="1">
      <c r="A273" s="3"/>
      <c r="B273" s="3"/>
      <c r="C273" s="1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5.75" customHeight="1">
      <c r="A274" s="3"/>
      <c r="B274" s="3"/>
      <c r="C274" s="1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5.75" customHeight="1">
      <c r="A275" s="3"/>
      <c r="B275" s="3"/>
      <c r="C275" s="1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5.75" customHeight="1">
      <c r="A276" s="3"/>
      <c r="B276" s="3"/>
      <c r="C276" s="1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5.75" customHeight="1">
      <c r="A277" s="3"/>
      <c r="B277" s="3"/>
      <c r="C277" s="1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5.75" customHeight="1">
      <c r="A278" s="3"/>
      <c r="B278" s="3"/>
      <c r="C278" s="1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5.75" customHeight="1">
      <c r="A279" s="3"/>
      <c r="B279" s="3"/>
      <c r="C279" s="1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5.75" customHeight="1">
      <c r="A280" s="3"/>
      <c r="B280" s="3"/>
      <c r="C280" s="1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5.75" customHeight="1">
      <c r="A281" s="3"/>
      <c r="B281" s="3"/>
      <c r="C281" s="1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5.75" customHeight="1">
      <c r="A282" s="3"/>
      <c r="B282" s="3"/>
      <c r="C282" s="1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5.75" customHeight="1">
      <c r="A283" s="3"/>
      <c r="B283" s="3"/>
      <c r="C283" s="1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5.75" customHeight="1">
      <c r="A284" s="3"/>
      <c r="B284" s="3"/>
      <c r="C284" s="1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5.75" customHeight="1">
      <c r="A285" s="3"/>
      <c r="B285" s="3"/>
      <c r="C285" s="1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5.75" customHeight="1">
      <c r="A286" s="3"/>
      <c r="B286" s="3"/>
      <c r="C286" s="1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5.75" customHeight="1">
      <c r="A287" s="3"/>
      <c r="B287" s="3"/>
      <c r="C287" s="1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5.75" customHeight="1">
      <c r="A288" s="3"/>
      <c r="B288" s="3"/>
      <c r="C288" s="1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5.75" customHeight="1">
      <c r="A289" s="3"/>
      <c r="B289" s="3"/>
      <c r="C289" s="1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5.75" customHeight="1">
      <c r="A290" s="3"/>
      <c r="B290" s="3"/>
      <c r="C290" s="1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5.75" customHeight="1">
      <c r="A291" s="3"/>
      <c r="B291" s="3"/>
      <c r="C291" s="1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5.75" customHeight="1">
      <c r="A292" s="3"/>
      <c r="B292" s="3"/>
      <c r="C292" s="1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5.75" customHeight="1">
      <c r="A293" s="3"/>
      <c r="B293" s="3"/>
      <c r="C293" s="1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5.75" customHeight="1">
      <c r="A294" s="3"/>
      <c r="B294" s="3"/>
      <c r="C294" s="1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5.75" customHeight="1">
      <c r="A295" s="3"/>
      <c r="B295" s="3"/>
      <c r="C295" s="1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5.75" customHeight="1">
      <c r="A296" s="3"/>
      <c r="B296" s="3"/>
      <c r="C296" s="1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96:B96"/>
    <mergeCell ref="A97:I97"/>
    <mergeCell ref="A18:I18"/>
    <mergeCell ref="A36:B36"/>
    <mergeCell ref="A37:I37"/>
    <mergeCell ref="A40:I40"/>
    <mergeCell ref="A66:B66"/>
    <mergeCell ref="A67:I67"/>
    <mergeCell ref="A70:I70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56" t="s">
        <v>111</v>
      </c>
      <c r="B1" s="57" t="s">
        <v>10</v>
      </c>
      <c r="C1" s="58"/>
      <c r="D1" s="58"/>
      <c r="E1" s="57" t="s">
        <v>17</v>
      </c>
      <c r="F1" s="58"/>
      <c r="G1" s="58"/>
      <c r="H1" s="59"/>
      <c r="I1" s="59"/>
      <c r="J1" s="59"/>
      <c r="K1" s="60" t="s">
        <v>33</v>
      </c>
      <c r="L1" s="58"/>
      <c r="M1" s="58"/>
      <c r="N1" s="60" t="s">
        <v>40</v>
      </c>
      <c r="O1" s="58"/>
      <c r="P1" s="58"/>
      <c r="Q1" s="61" t="s">
        <v>112</v>
      </c>
      <c r="R1" s="58"/>
      <c r="S1" s="58"/>
      <c r="T1" s="61" t="s">
        <v>51</v>
      </c>
      <c r="U1" s="58"/>
      <c r="V1" s="58"/>
      <c r="W1" s="61" t="s">
        <v>58</v>
      </c>
      <c r="X1" s="58"/>
      <c r="Y1" s="58"/>
      <c r="Z1" s="61" t="s">
        <v>65</v>
      </c>
      <c r="AA1" s="58"/>
      <c r="AB1" s="58"/>
      <c r="AC1" s="62" t="s">
        <v>113</v>
      </c>
    </row>
    <row r="2" ht="24.0" customHeight="1">
      <c r="A2" s="63"/>
      <c r="B2" s="64" t="s">
        <v>114</v>
      </c>
      <c r="C2" s="65" t="s">
        <v>115</v>
      </c>
      <c r="D2" s="66" t="s">
        <v>116</v>
      </c>
      <c r="E2" s="64" t="s">
        <v>114</v>
      </c>
      <c r="F2" s="65" t="s">
        <v>115</v>
      </c>
      <c r="G2" s="66" t="s">
        <v>116</v>
      </c>
      <c r="H2" s="64"/>
      <c r="I2" s="64"/>
      <c r="J2" s="64"/>
      <c r="K2" s="64" t="s">
        <v>114</v>
      </c>
      <c r="L2" s="65" t="s">
        <v>115</v>
      </c>
      <c r="M2" s="66" t="s">
        <v>116</v>
      </c>
      <c r="N2" s="64" t="s">
        <v>114</v>
      </c>
      <c r="O2" s="65" t="s">
        <v>115</v>
      </c>
      <c r="P2" s="66" t="s">
        <v>116</v>
      </c>
      <c r="Q2" s="64" t="s">
        <v>114</v>
      </c>
      <c r="R2" s="65" t="s">
        <v>115</v>
      </c>
      <c r="S2" s="66" t="s">
        <v>116</v>
      </c>
      <c r="T2" s="64" t="s">
        <v>114</v>
      </c>
      <c r="U2" s="65" t="s">
        <v>115</v>
      </c>
      <c r="V2" s="66" t="s">
        <v>116</v>
      </c>
      <c r="W2" s="64" t="s">
        <v>114</v>
      </c>
      <c r="X2" s="65" t="s">
        <v>115</v>
      </c>
      <c r="Y2" s="66" t="s">
        <v>116</v>
      </c>
      <c r="Z2" s="64" t="s">
        <v>114</v>
      </c>
      <c r="AA2" s="65" t="s">
        <v>115</v>
      </c>
      <c r="AB2" s="66" t="s">
        <v>116</v>
      </c>
      <c r="AC2" s="67"/>
    </row>
    <row r="3" ht="21.75" customHeight="1">
      <c r="A3" s="68" t="s">
        <v>117</v>
      </c>
      <c r="B3" s="69">
        <f>100%+'Weekly Tables'!I3</f>
        <v>0.9091627355</v>
      </c>
      <c r="C3" s="70">
        <f t="shared" ref="C3:C8" si="1">IFERROR(ROUND(ifs(B3="","",B3&gt;=1.05,5,B3&gt;=1.02,4+(B3-1.02)/0.03,B3&gt;=0.99,3+(B3-0.99)/0.03,B3&gt;=0.95,2+(B3-0.95)/0.04,B3&gt;=0.9,1+(B3-0.9)/0.05,TRUE(),0),1),"")</f>
        <v>1.2</v>
      </c>
      <c r="D3" s="71">
        <f t="shared" ref="D3:D8" si="2">IF(C3="","",C3*C$9)</f>
        <v>0.072</v>
      </c>
      <c r="E3" s="69">
        <f>100%+'Weekly Tables'!F3</f>
        <v>1.053592755</v>
      </c>
      <c r="F3" s="70">
        <f t="shared" ref="F3:F8" si="3">IFERROR(ROUND(ifs(E3="","",E3&gt;=1.15,5,E3&gt;=1.075,4+(E3-1.075)/0.075,E3&gt;=1.05,3+(E3-1.05)/0.025,E3&gt;=1,2+(E3-1)/0.05,E3&gt;=0.95,1+(E3-0.95)/0.05,TRUE(),0),1),"")</f>
        <v>3.1</v>
      </c>
      <c r="G3" s="72">
        <f t="shared" ref="G3:G8" si="4">IF(F3="","",F3*F$9)</f>
        <v>0.186</v>
      </c>
      <c r="H3" s="73"/>
      <c r="I3" s="73"/>
      <c r="J3" s="73"/>
      <c r="K3" s="74">
        <f>'Weekly Tables'!L3*100</f>
        <v>-0.5</v>
      </c>
      <c r="L3" s="70">
        <f t="shared" ref="L3:L8" si="5">IFERROR(ROUND(IFS(K3="","",K3&gt;=3,0,K3&gt;=2,1+(3-K3)/1,K3&gt;=1,2+(2-K3)/1,K3&gt;0,3+(1-K3)/1,K3&gt;=-1,4+(0-K3)/1,TRUE,5),1),"")</f>
        <v>4.5</v>
      </c>
      <c r="M3" s="71">
        <f t="shared" ref="M3:M8" si="6">IF(L3="","",L3*L$9)</f>
        <v>0.6525</v>
      </c>
      <c r="N3" s="75">
        <f>'Weekly Tables'!O3*100</f>
        <v>2.3</v>
      </c>
      <c r="O3" s="70">
        <f t="shared" ref="O3:O8" si="7">IFERROR(ROUND(IFS(N3="","",N3&gt;=3,0,N3&gt;=2,1+(3-N3)/1,N3&gt;=1,2+(2-N3)/1,N3&gt;0,3+(1-N3)/1,N3&gt;=-1,4+(0-N3)/1,TRUE,5),1),"")</f>
        <v>1.7</v>
      </c>
      <c r="P3" s="71">
        <f t="shared" ref="P3:P8" si="8">IF(O3="","",O3*O$9)</f>
        <v>0.2465</v>
      </c>
      <c r="Q3" s="76" t="str">
        <f>'Weekly Tables'!E12</f>
        <v>NA</v>
      </c>
      <c r="R3" s="70" t="str">
        <f t="shared" ref="R3:R8" si="9">IFERROR(ROUND(ifs(Q3="","",Value(Q3)="NA","" ,Q3&gt;=4.7,5,Q3&gt;=4.5,4+(Q3-4.5)/0.2,Q3&gt;=4.3,3+(Q3-4.3)/0.2,Q3&gt;=4,2+(Q3-4)/0.3,Q3&gt;=3.8,1+(Q3-3.8)/0.2,TRUE(),0),1),"")</f>
        <v/>
      </c>
      <c r="S3" s="71" t="str">
        <f t="shared" ref="S3:S8" si="10">IF(R3="","",R3*R$9)</f>
        <v/>
      </c>
      <c r="T3" s="77">
        <f>'Weekly Tables'!N20</f>
        <v>0.0443</v>
      </c>
      <c r="U3" s="70">
        <f t="shared" ref="U3:U8" si="11">IFERROR(ROUND(ifs(T3="","",T3&lt;=0.01,5,T3&lt;=0.015,4+(0.015-T3)/0.005,T3&lt;=0.02,3+(0.02-T3)/0.005,T3&lt;=0.04,2+(0.04-T3)/0.02,T3&lt;=0.06,1+(0.06-T3)/0.02,TRUE(),0),1),"")</f>
        <v>1.8</v>
      </c>
      <c r="V3" s="71">
        <f t="shared" ref="V3:V8" si="12">IF(U3="","",U3*U$9)</f>
        <v>0.216</v>
      </c>
      <c r="W3" s="78">
        <f t="array" ref="W3">XLOOKUP(A3,'Weekly Tables'!$B$30:$B$34,'Weekly Tables'!$H$30:$H$34)</f>
        <v>1.52</v>
      </c>
      <c r="X3" s="70">
        <f t="shared" ref="X3:X8" si="13">IFERROR(ROUND(ifs(W3="","",W3&lt;=1,5,W3&lt;=1.5,4+(1.5-W3)/0.5,W3&lt;=2,3+(2-W3)/0.5,W3&lt;=5,2+(5-W3)/3,W3&lt;=8,1+(8-W3)/3,TRUE(),0),1),"")</f>
        <v>4</v>
      </c>
      <c r="Y3" s="71">
        <f t="shared" ref="Y3:Y8" si="14">IF(X3="","",X3*X$9)</f>
        <v>0.36</v>
      </c>
      <c r="Z3" s="79">
        <f>'Weekly Tables'!E20</f>
        <v>4.5</v>
      </c>
      <c r="AA3" s="70">
        <f t="shared" ref="AA3:AA8" si="15">IFERROR(ROUND(ifs(Z3="","",Z3&gt;=4.7,5,Z3&gt;=4.5,4+(Z3-4.5)/0.2,Z3&gt;=4.3,3+(Z3-4.3)/0.2,Z3&gt;=4,2+(Z3-4)/0.3,Z3&gt;=3.8,1+(Z3-3.8)/0.2,TRUE(),0),1),"")</f>
        <v>4</v>
      </c>
      <c r="AB3" s="71">
        <f t="shared" ref="AB3:AB8" si="16">IF(AA3="","",AA3*AA$9)</f>
        <v>0.36</v>
      </c>
      <c r="AC3" s="70">
        <f t="shared" ref="AC3:AC8" si="17">SUM(D3,G3,J3,M3,P3,S3,V3,Y3,AB3)</f>
        <v>2.093</v>
      </c>
    </row>
    <row r="4" ht="21.75" customHeight="1">
      <c r="A4" s="68" t="s">
        <v>118</v>
      </c>
      <c r="B4" s="80">
        <f>100%+'Weekly Tables'!I4</f>
        <v>0.8022075244</v>
      </c>
      <c r="C4" s="70">
        <f t="shared" si="1"/>
        <v>0</v>
      </c>
      <c r="D4" s="71">
        <f t="shared" si="2"/>
        <v>0</v>
      </c>
      <c r="E4" s="80">
        <f>100%+'Weekly Tables'!F4</f>
        <v>0.991307091</v>
      </c>
      <c r="F4" s="70">
        <f t="shared" si="3"/>
        <v>1.8</v>
      </c>
      <c r="G4" s="72">
        <f t="shared" si="4"/>
        <v>0.108</v>
      </c>
      <c r="H4" s="73"/>
      <c r="I4" s="73"/>
      <c r="J4" s="73"/>
      <c r="K4" s="81">
        <f>'Weekly Tables'!L4*100</f>
        <v>5</v>
      </c>
      <c r="L4" s="70">
        <f t="shared" si="5"/>
        <v>0</v>
      </c>
      <c r="M4" s="71">
        <f t="shared" si="6"/>
        <v>0</v>
      </c>
      <c r="N4" s="82">
        <f>'Weekly Tables'!O4*100</f>
        <v>3.7</v>
      </c>
      <c r="O4" s="70">
        <f t="shared" si="7"/>
        <v>0</v>
      </c>
      <c r="P4" s="71">
        <f t="shared" si="8"/>
        <v>0</v>
      </c>
      <c r="Q4" s="83">
        <f>'Weekly Tables'!E15</f>
        <v>5</v>
      </c>
      <c r="R4" s="70">
        <f t="shared" si="9"/>
        <v>5</v>
      </c>
      <c r="S4" s="71">
        <f t="shared" si="10"/>
        <v>1.45</v>
      </c>
      <c r="T4" s="84">
        <f>'Weekly Tables'!N23</f>
        <v>0.0122</v>
      </c>
      <c r="U4" s="70">
        <f t="shared" si="11"/>
        <v>4.6</v>
      </c>
      <c r="V4" s="71">
        <f t="shared" si="12"/>
        <v>0.552</v>
      </c>
      <c r="W4" s="85">
        <f t="array" ref="W4">XLOOKUP(A4,'Weekly Tables'!$B$30:$B$34,'Weekly Tables'!$H$30:$H$34)</f>
        <v>1.45</v>
      </c>
      <c r="X4" s="70">
        <f t="shared" si="13"/>
        <v>4.1</v>
      </c>
      <c r="Y4" s="71">
        <f t="shared" si="14"/>
        <v>0.369</v>
      </c>
      <c r="Z4" s="86">
        <f>'Weekly Tables'!E23</f>
        <v>4.1</v>
      </c>
      <c r="AA4" s="70">
        <f t="shared" si="15"/>
        <v>2.3</v>
      </c>
      <c r="AB4" s="71">
        <f t="shared" si="16"/>
        <v>0.207</v>
      </c>
      <c r="AC4" s="70">
        <f t="shared" si="17"/>
        <v>2.686</v>
      </c>
    </row>
    <row r="5" ht="21.75" customHeight="1">
      <c r="A5" s="68" t="s">
        <v>119</v>
      </c>
      <c r="B5" s="80">
        <f>100%+'Weekly Tables'!I5</f>
        <v>0.7159853453</v>
      </c>
      <c r="C5" s="70">
        <f t="shared" si="1"/>
        <v>0</v>
      </c>
      <c r="D5" s="71">
        <f t="shared" si="2"/>
        <v>0</v>
      </c>
      <c r="E5" s="80">
        <f>100%+'Weekly Tables'!F5</f>
        <v>0.8586523126</v>
      </c>
      <c r="F5" s="70">
        <f t="shared" si="3"/>
        <v>0</v>
      </c>
      <c r="G5" s="72">
        <f t="shared" si="4"/>
        <v>0</v>
      </c>
      <c r="H5" s="73"/>
      <c r="I5" s="73"/>
      <c r="J5" s="73"/>
      <c r="K5" s="87">
        <f>'Weekly Tables'!L5*100</f>
        <v>-0.2</v>
      </c>
      <c r="L5" s="70">
        <f t="shared" si="5"/>
        <v>4.2</v>
      </c>
      <c r="M5" s="71">
        <f t="shared" si="6"/>
        <v>0.609</v>
      </c>
      <c r="N5" s="82">
        <f>'Weekly Tables'!O5*100</f>
        <v>3.2</v>
      </c>
      <c r="O5" s="70">
        <f t="shared" si="7"/>
        <v>0</v>
      </c>
      <c r="P5" s="71">
        <f t="shared" si="8"/>
        <v>0</v>
      </c>
      <c r="Q5" s="88">
        <f>'Weekly Tables'!E13</f>
        <v>5</v>
      </c>
      <c r="R5" s="70">
        <f t="shared" si="9"/>
        <v>5</v>
      </c>
      <c r="S5" s="71">
        <f t="shared" si="10"/>
        <v>1.45</v>
      </c>
      <c r="T5" s="89">
        <f>'Weekly Tables'!N21</f>
        <v>0.0412</v>
      </c>
      <c r="U5" s="70">
        <f t="shared" si="11"/>
        <v>1.9</v>
      </c>
      <c r="V5" s="71">
        <f t="shared" si="12"/>
        <v>0.228</v>
      </c>
      <c r="W5" s="90">
        <f t="array" ref="W5">XLOOKUP(A5,'Weekly Tables'!$B$30:$B$34,'Weekly Tables'!$H$30:$H$34)</f>
        <v>1.2</v>
      </c>
      <c r="X5" s="70">
        <f t="shared" si="13"/>
        <v>4.6</v>
      </c>
      <c r="Y5" s="71">
        <f t="shared" si="14"/>
        <v>0.414</v>
      </c>
      <c r="Z5" s="91">
        <f>'Weekly Tables'!E21</f>
        <v>4.5</v>
      </c>
      <c r="AA5" s="70">
        <f t="shared" si="15"/>
        <v>4</v>
      </c>
      <c r="AB5" s="71">
        <f t="shared" si="16"/>
        <v>0.36</v>
      </c>
      <c r="AC5" s="70">
        <f t="shared" si="17"/>
        <v>3.061</v>
      </c>
    </row>
    <row r="6" ht="21.75" customHeight="1">
      <c r="A6" s="68" t="s">
        <v>120</v>
      </c>
      <c r="B6" s="69">
        <f>100%+'Weekly Tables'!I6</f>
        <v>1.127917327</v>
      </c>
      <c r="C6" s="70">
        <f t="shared" si="1"/>
        <v>5</v>
      </c>
      <c r="D6" s="71">
        <f t="shared" si="2"/>
        <v>0.3</v>
      </c>
      <c r="E6" s="92">
        <f>100%+'Weekly Tables'!F6</f>
        <v>1.088530113</v>
      </c>
      <c r="F6" s="70">
        <f t="shared" si="3"/>
        <v>4.2</v>
      </c>
      <c r="G6" s="72">
        <f t="shared" si="4"/>
        <v>0.252</v>
      </c>
      <c r="H6" s="73"/>
      <c r="I6" s="73"/>
      <c r="J6" s="73"/>
      <c r="K6" s="93">
        <f>'Weekly Tables'!L6*100</f>
        <v>-4</v>
      </c>
      <c r="L6" s="70">
        <f t="shared" si="5"/>
        <v>5</v>
      </c>
      <c r="M6" s="71">
        <f t="shared" si="6"/>
        <v>0.725</v>
      </c>
      <c r="N6" s="94">
        <f>'Weekly Tables'!O6*100</f>
        <v>2.2</v>
      </c>
      <c r="O6" s="70">
        <f t="shared" si="7"/>
        <v>1.8</v>
      </c>
      <c r="P6" s="71">
        <f t="shared" si="8"/>
        <v>0.261</v>
      </c>
      <c r="Q6" s="76">
        <f>'Weekly Tables'!E14</f>
        <v>5</v>
      </c>
      <c r="R6" s="70">
        <f t="shared" si="9"/>
        <v>5</v>
      </c>
      <c r="S6" s="71">
        <f t="shared" si="10"/>
        <v>1.45</v>
      </c>
      <c r="T6" s="95">
        <f>'Weekly Tables'!N22</f>
        <v>0.0114</v>
      </c>
      <c r="U6" s="70">
        <f t="shared" si="11"/>
        <v>4.7</v>
      </c>
      <c r="V6" s="71">
        <f t="shared" si="12"/>
        <v>0.564</v>
      </c>
      <c r="W6" s="96">
        <f t="array" ref="W6">XLOOKUP(A6,'Weekly Tables'!$B$30:$B$34,'Weekly Tables'!$H$30:$H$34)</f>
        <v>1.13</v>
      </c>
      <c r="X6" s="70">
        <f t="shared" si="13"/>
        <v>4.7</v>
      </c>
      <c r="Y6" s="71">
        <f t="shared" si="14"/>
        <v>0.423</v>
      </c>
      <c r="Z6" s="79">
        <f>'Weekly Tables'!E22</f>
        <v>4.4</v>
      </c>
      <c r="AA6" s="70">
        <f t="shared" si="15"/>
        <v>3.5</v>
      </c>
      <c r="AB6" s="71">
        <f t="shared" si="16"/>
        <v>0.315</v>
      </c>
      <c r="AC6" s="70">
        <f t="shared" si="17"/>
        <v>4.29</v>
      </c>
    </row>
    <row r="7" ht="21.75" customHeight="1">
      <c r="A7" s="97" t="s">
        <v>121</v>
      </c>
      <c r="B7" s="98">
        <f>100%+'Weekly Tables'!I7</f>
        <v>0.8999248072</v>
      </c>
      <c r="C7" s="70">
        <f t="shared" si="1"/>
        <v>0</v>
      </c>
      <c r="D7" s="71">
        <f t="shared" si="2"/>
        <v>0</v>
      </c>
      <c r="E7" s="69">
        <f>100%+'Weekly Tables'!F7</f>
        <v>0.8220935645</v>
      </c>
      <c r="F7" s="70">
        <f t="shared" si="3"/>
        <v>0</v>
      </c>
      <c r="G7" s="72">
        <f t="shared" si="4"/>
        <v>0</v>
      </c>
      <c r="H7" s="73"/>
      <c r="I7" s="73"/>
      <c r="J7" s="73"/>
      <c r="K7" s="93">
        <f>'Weekly Tables'!L7*100</f>
        <v>-1.6</v>
      </c>
      <c r="L7" s="70">
        <f t="shared" si="5"/>
        <v>5</v>
      </c>
      <c r="M7" s="71">
        <f t="shared" si="6"/>
        <v>0.725</v>
      </c>
      <c r="N7" s="93">
        <f>'Weekly Tables'!O7*100</f>
        <v>-1.5</v>
      </c>
      <c r="O7" s="70">
        <f t="shared" si="7"/>
        <v>5</v>
      </c>
      <c r="P7" s="71">
        <f t="shared" si="8"/>
        <v>0.725</v>
      </c>
      <c r="Q7" s="99">
        <f>'Weekly Tables'!E16</f>
        <v>4.3</v>
      </c>
      <c r="R7" s="70">
        <f t="shared" si="9"/>
        <v>3</v>
      </c>
      <c r="S7" s="71">
        <f t="shared" si="10"/>
        <v>0.87</v>
      </c>
      <c r="T7" s="100">
        <f>'Weekly Tables'!N24</f>
        <v>0.046</v>
      </c>
      <c r="U7" s="70">
        <f t="shared" si="11"/>
        <v>1.7</v>
      </c>
      <c r="V7" s="71">
        <f t="shared" si="12"/>
        <v>0.204</v>
      </c>
      <c r="W7" s="101">
        <f t="array" ref="W7">XLOOKUP(A7,'Weekly Tables'!$B$30:$B$34,'Weekly Tables'!$H$30:$H$34)</f>
        <v>1.68</v>
      </c>
      <c r="X7" s="70">
        <f t="shared" si="13"/>
        <v>3.6</v>
      </c>
      <c r="Y7" s="71">
        <f t="shared" si="14"/>
        <v>0.324</v>
      </c>
      <c r="Z7" s="86">
        <f>'Weekly Tables'!E24</f>
        <v>4.1</v>
      </c>
      <c r="AA7" s="70">
        <f t="shared" si="15"/>
        <v>2.3</v>
      </c>
      <c r="AB7" s="71">
        <f t="shared" si="16"/>
        <v>0.207</v>
      </c>
      <c r="AC7" s="70">
        <f t="shared" si="17"/>
        <v>3.055</v>
      </c>
    </row>
    <row r="8" ht="21.75" customHeight="1">
      <c r="A8" s="102" t="s">
        <v>122</v>
      </c>
      <c r="B8" s="103">
        <f>100%+'Weekly Tables'!I8</f>
        <v>0.8582946093</v>
      </c>
      <c r="C8" s="104">
        <f t="shared" si="1"/>
        <v>0</v>
      </c>
      <c r="D8" s="105">
        <f t="shared" si="2"/>
        <v>0</v>
      </c>
      <c r="E8" s="106">
        <f>100%+'Weekly Tables'!F8</f>
        <v>0.9403052886</v>
      </c>
      <c r="F8" s="104">
        <f t="shared" si="3"/>
        <v>0</v>
      </c>
      <c r="G8" s="107">
        <f t="shared" si="4"/>
        <v>0</v>
      </c>
      <c r="H8" s="108"/>
      <c r="I8" s="108"/>
      <c r="J8" s="108"/>
      <c r="K8" s="109">
        <f>'Weekly Tables'!L8*100</f>
        <v>0</v>
      </c>
      <c r="L8" s="104">
        <f t="shared" si="5"/>
        <v>4</v>
      </c>
      <c r="M8" s="105">
        <f t="shared" si="6"/>
        <v>0.58</v>
      </c>
      <c r="N8" s="110">
        <f>'Weekly Tables'!O8*100</f>
        <v>2</v>
      </c>
      <c r="O8" s="104">
        <f t="shared" si="7"/>
        <v>2</v>
      </c>
      <c r="P8" s="105">
        <f t="shared" si="8"/>
        <v>0.29</v>
      </c>
      <c r="Q8" s="111">
        <f>'Weekly Tables'!E17</f>
        <v>4.71</v>
      </c>
      <c r="R8" s="104">
        <f t="shared" si="9"/>
        <v>5</v>
      </c>
      <c r="S8" s="105">
        <f t="shared" si="10"/>
        <v>1.45</v>
      </c>
      <c r="T8" s="112">
        <f>'Weekly Tables'!N25</f>
        <v>0.03102</v>
      </c>
      <c r="U8" s="104">
        <f t="shared" si="11"/>
        <v>2.4</v>
      </c>
      <c r="V8" s="105">
        <f t="shared" si="12"/>
        <v>0.288</v>
      </c>
      <c r="W8" s="113">
        <f t="array" ref="W8">XLOOKUP(A8,'Weekly Tables'!$B$30:$B$35,'Weekly Tables'!$H$30:$H$35)</f>
        <v>1.33</v>
      </c>
      <c r="X8" s="104">
        <f t="shared" si="13"/>
        <v>4.3</v>
      </c>
      <c r="Y8" s="105">
        <f t="shared" si="14"/>
        <v>0.387</v>
      </c>
      <c r="Z8" s="114">
        <f>'Weekly Tables'!E25</f>
        <v>4.32</v>
      </c>
      <c r="AA8" s="104">
        <f t="shared" si="15"/>
        <v>3.1</v>
      </c>
      <c r="AB8" s="105">
        <f t="shared" si="16"/>
        <v>0.279</v>
      </c>
      <c r="AC8" s="104">
        <f t="shared" si="17"/>
        <v>3.274</v>
      </c>
    </row>
    <row r="9" ht="19.5" customHeight="1">
      <c r="A9" s="115" t="s">
        <v>123</v>
      </c>
      <c r="B9" s="116"/>
      <c r="C9" s="117">
        <f>'Scoring Matrix'!C20</f>
        <v>0.06</v>
      </c>
      <c r="D9" s="118"/>
      <c r="E9" s="116"/>
      <c r="F9" s="117">
        <f>'Scoring Matrix'!C22</f>
        <v>0.06</v>
      </c>
      <c r="G9" s="119"/>
      <c r="H9" s="120"/>
      <c r="I9" s="121"/>
      <c r="J9" s="122"/>
      <c r="K9" s="116"/>
      <c r="L9" s="117">
        <f>'Scoring Matrix'!C24</f>
        <v>0.145</v>
      </c>
      <c r="M9" s="118"/>
      <c r="N9" s="116"/>
      <c r="O9" s="117">
        <f>'Scoring Matrix'!C26</f>
        <v>0.145</v>
      </c>
      <c r="P9" s="118"/>
      <c r="Q9" s="116"/>
      <c r="R9" s="117">
        <f>'Scoring Matrix'!C28</f>
        <v>0.29</v>
      </c>
      <c r="S9" s="118"/>
      <c r="T9" s="116"/>
      <c r="U9" s="117">
        <f>'Scoring Matrix'!C30</f>
        <v>0.12</v>
      </c>
      <c r="V9" s="118"/>
      <c r="W9" s="116"/>
      <c r="X9" s="117">
        <f>'Scoring Matrix'!C32</f>
        <v>0.09</v>
      </c>
      <c r="Y9" s="118"/>
      <c r="Z9" s="116"/>
      <c r="AA9" s="117">
        <f>'Scoring Matrix'!C34</f>
        <v>0.09</v>
      </c>
      <c r="AB9" s="118"/>
      <c r="AC9" s="123"/>
    </row>
    <row r="10" ht="21.75" customHeight="1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</row>
    <row r="11">
      <c r="A11" s="124"/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</row>
    <row r="12" ht="24.0" customHeight="1">
      <c r="A12" s="124"/>
      <c r="B12" s="124">
        <v>2.0</v>
      </c>
      <c r="C12" s="124">
        <v>3.0</v>
      </c>
      <c r="D12" s="124">
        <v>4.0</v>
      </c>
      <c r="E12" s="124">
        <v>5.0</v>
      </c>
      <c r="F12" s="124">
        <v>6.0</v>
      </c>
      <c r="G12" s="124">
        <v>7.0</v>
      </c>
      <c r="H12" s="124">
        <v>8.0</v>
      </c>
      <c r="I12" s="124">
        <v>9.0</v>
      </c>
      <c r="J12" s="124">
        <v>10.0</v>
      </c>
      <c r="K12" s="124">
        <v>11.0</v>
      </c>
      <c r="L12" s="124">
        <v>12.0</v>
      </c>
      <c r="M12" s="124">
        <v>13.0</v>
      </c>
      <c r="N12" s="124">
        <v>14.0</v>
      </c>
      <c r="O12" s="124">
        <v>15.0</v>
      </c>
      <c r="P12" s="124">
        <v>16.0</v>
      </c>
      <c r="Q12" s="124">
        <v>17.0</v>
      </c>
      <c r="R12" s="124">
        <v>18.0</v>
      </c>
      <c r="S12" s="124">
        <v>19.0</v>
      </c>
      <c r="T12" s="124">
        <v>20.0</v>
      </c>
      <c r="U12" s="124">
        <v>21.0</v>
      </c>
      <c r="V12" s="124">
        <v>22.0</v>
      </c>
      <c r="W12" s="124">
        <v>23.0</v>
      </c>
      <c r="X12" s="124">
        <v>24.0</v>
      </c>
      <c r="Y12" s="124">
        <v>25.0</v>
      </c>
      <c r="Z12" s="124">
        <v>26.0</v>
      </c>
      <c r="AA12" s="124">
        <v>27.0</v>
      </c>
      <c r="AB12" s="124">
        <v>28.0</v>
      </c>
      <c r="AC12" s="124">
        <v>29.0</v>
      </c>
    </row>
    <row r="13">
      <c r="A13" s="124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</row>
    <row r="14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</row>
    <row r="15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</row>
    <row r="16">
      <c r="A16" s="124"/>
      <c r="B16" s="124"/>
      <c r="C16" s="124"/>
      <c r="D16" s="124"/>
      <c r="E16" s="124"/>
      <c r="F16" s="124"/>
      <c r="G16" s="124"/>
      <c r="H16" s="124"/>
      <c r="I16" s="124"/>
      <c r="J16" s="124" t="s">
        <v>124</v>
      </c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</row>
    <row r="17">
      <c r="A17" s="124"/>
      <c r="B17" s="12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</row>
    <row r="18">
      <c r="A18" s="124"/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</row>
    <row r="19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</row>
    <row r="20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</row>
    <row r="21" ht="15.75" customHeight="1">
      <c r="A21" s="124"/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</row>
    <row r="22" ht="15.75" customHeight="1">
      <c r="A22" s="124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</row>
    <row r="23" ht="15.75" customHeight="1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</row>
    <row r="24" ht="15.75" customHeight="1">
      <c r="A24" s="124"/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ht="15.75" customHeight="1">
      <c r="A25" s="124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</row>
    <row r="26" ht="15.75" customHeight="1">
      <c r="A26" s="124"/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</row>
    <row r="27" ht="15.75" customHeight="1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</row>
    <row r="28" ht="15.75" customHeight="1">
      <c r="A28" s="124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</row>
    <row r="29" ht="15.75" customHeight="1">
      <c r="A29" s="124"/>
      <c r="B29" s="124"/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</row>
    <row r="30" ht="15.75" customHeight="1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</row>
    <row r="31" ht="15.75" customHeight="1">
      <c r="A31" s="124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</row>
    <row r="32" ht="15.75" customHeight="1">
      <c r="A32" s="124"/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</row>
    <row r="33" ht="15.75" customHeight="1">
      <c r="A33" s="124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</row>
    <row r="34" ht="15.75" customHeight="1">
      <c r="A34" s="124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</row>
    <row r="35" ht="15.75" customHeight="1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</row>
    <row r="36" ht="15.75" customHeight="1">
      <c r="A36" s="124"/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ht="15.75" customHeight="1">
      <c r="A37" s="124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</row>
    <row r="38" ht="15.75" customHeight="1">
      <c r="A38" s="124"/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</row>
    <row r="39" ht="15.75" customHeight="1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</row>
    <row r="40" ht="15.75" customHeight="1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</row>
    <row r="41" ht="15.75" customHeight="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</row>
    <row r="42" ht="15.75" customHeight="1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</row>
    <row r="43" ht="15.75" customHeight="1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</row>
    <row r="44" ht="15.75" customHeight="1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  <c r="AC44" s="124"/>
    </row>
    <row r="45" ht="15.75" customHeight="1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</row>
    <row r="46" ht="15.75" customHeight="1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</row>
    <row r="47" ht="15.75" customHeight="1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  <c r="AC47" s="124"/>
    </row>
    <row r="48" ht="15.75" customHeight="1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ht="15.75" customHeight="1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</row>
    <row r="50" ht="15.75" customHeight="1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</row>
    <row r="51" ht="15.75" customHeight="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</row>
    <row r="52" ht="15.75" customHeight="1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</row>
    <row r="53" ht="15.75" customHeight="1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</row>
    <row r="54" ht="15.75" customHeight="1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</row>
    <row r="55" ht="15.75" customHeight="1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  <c r="AC55" s="124"/>
    </row>
    <row r="56" ht="15.75" customHeight="1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  <c r="AC56" s="124"/>
    </row>
    <row r="57" ht="15.75" customHeight="1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  <c r="AC57" s="124"/>
    </row>
    <row r="58" ht="15.75" customHeight="1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  <c r="AC58" s="124"/>
    </row>
    <row r="59" ht="15.75" customHeight="1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</row>
    <row r="60" ht="15.75" customHeight="1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</row>
    <row r="61" ht="15.75" customHeight="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</row>
    <row r="62" ht="15.75" customHeight="1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</row>
    <row r="63" ht="15.75" customHeight="1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</row>
    <row r="64" ht="15.75" customHeight="1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</row>
    <row r="65" ht="15.75" customHeight="1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</row>
    <row r="66" ht="15.75" customHeight="1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</row>
    <row r="67" ht="15.75" customHeight="1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</row>
    <row r="68" ht="15.75" customHeight="1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</row>
    <row r="69" ht="15.75" customHeight="1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</row>
    <row r="70" ht="15.75" customHeight="1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</row>
    <row r="71" ht="15.75" customHeight="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</row>
    <row r="72" ht="15.75" customHeight="1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</row>
    <row r="73" ht="15.75" customHeight="1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</row>
    <row r="74" ht="15.75" customHeight="1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</row>
    <row r="75" ht="15.75" customHeight="1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</row>
    <row r="76" ht="15.75" customHeight="1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</row>
    <row r="77" ht="15.75" customHeight="1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</row>
    <row r="78" ht="15.75" customHeight="1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</row>
    <row r="79" ht="15.75" customHeight="1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</row>
    <row r="80" ht="15.75" customHeight="1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</row>
    <row r="81" ht="15.75" customHeight="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</row>
    <row r="82" ht="15.75" customHeight="1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</row>
    <row r="83" ht="15.75" customHeight="1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</row>
    <row r="84" ht="15.75" customHeight="1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</row>
    <row r="85" ht="15.75" customHeight="1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</row>
    <row r="86" ht="15.75" customHeight="1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</row>
    <row r="87" ht="15.75" customHeight="1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</row>
    <row r="88" ht="15.75" customHeight="1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</row>
    <row r="89" ht="15.75" customHeight="1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</row>
    <row r="90" ht="15.75" customHeight="1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</row>
    <row r="91" ht="15.75" customHeight="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</row>
    <row r="92" ht="15.75" customHeight="1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</row>
    <row r="93" ht="15.75" customHeight="1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</row>
    <row r="94" ht="15.75" customHeigh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</row>
    <row r="95" ht="15.75" customHeight="1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</row>
    <row r="96" ht="15.75" customHeight="1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</row>
    <row r="97" ht="15.75" customHeight="1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</row>
    <row r="98" ht="15.75" customHeigh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</row>
    <row r="99" ht="15.75" customHeight="1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</row>
    <row r="100" ht="15.75" customHeight="1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</row>
    <row r="101" ht="15.75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</row>
    <row r="102" ht="15.75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</row>
    <row r="103" ht="15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</row>
    <row r="104" ht="15.7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</row>
    <row r="105" ht="15.7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</row>
    <row r="106" ht="15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</row>
    <row r="107" ht="15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</row>
    <row r="108" ht="15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</row>
    <row r="109" ht="15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</row>
    <row r="110" ht="15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</row>
    <row r="111" ht="15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</row>
    <row r="112" ht="15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</row>
    <row r="113" ht="15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</row>
    <row r="114" ht="15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</row>
    <row r="115" ht="15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</row>
    <row r="116" ht="15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</row>
    <row r="117" ht="15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</row>
    <row r="118" ht="15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</row>
    <row r="119" ht="15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</row>
    <row r="120" ht="15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</row>
    <row r="121" ht="15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</row>
    <row r="122" ht="15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</row>
    <row r="123" ht="15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</row>
    <row r="124" ht="15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</row>
    <row r="125" ht="15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</row>
    <row r="126" ht="15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</row>
    <row r="127" ht="15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</row>
    <row r="128" ht="15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</row>
    <row r="129" ht="15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</row>
    <row r="130" ht="15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</row>
    <row r="131" ht="15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</row>
    <row r="132" ht="15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</row>
    <row r="133" ht="15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  <c r="AC133" s="124"/>
    </row>
    <row r="134" ht="15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  <c r="AC134" s="124"/>
    </row>
    <row r="135" ht="15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  <c r="AC135" s="124"/>
    </row>
    <row r="136" ht="15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</row>
    <row r="137" ht="15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</row>
    <row r="138" ht="15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</row>
    <row r="139" ht="15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</row>
    <row r="140" ht="15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</row>
    <row r="141" ht="15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</row>
    <row r="142" ht="15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</row>
    <row r="143" ht="15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</row>
    <row r="144" ht="15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</row>
    <row r="145" ht="15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</row>
    <row r="146" ht="15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</row>
    <row r="147" ht="15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</row>
    <row r="148" ht="15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</row>
    <row r="149" ht="15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</row>
    <row r="150" ht="15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</row>
    <row r="151" ht="15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</row>
    <row r="152" ht="15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</row>
    <row r="153" ht="15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</row>
    <row r="154" ht="15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</row>
    <row r="155" ht="15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</row>
    <row r="156" ht="15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  <c r="AC156" s="124"/>
    </row>
    <row r="157" ht="15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  <c r="AC157" s="124"/>
    </row>
    <row r="158" ht="15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  <c r="AC158" s="124"/>
    </row>
    <row r="159" ht="15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  <c r="AC159" s="124"/>
    </row>
    <row r="160" ht="15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  <c r="AC160" s="124"/>
    </row>
    <row r="161" ht="15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  <c r="AC161" s="124"/>
    </row>
    <row r="162" ht="15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  <c r="AC162" s="124"/>
    </row>
    <row r="163" ht="15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  <c r="AC163" s="124"/>
    </row>
    <row r="164" ht="15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  <c r="AC164" s="124"/>
    </row>
    <row r="165" ht="15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</row>
    <row r="166" ht="15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  <c r="AC166" s="124"/>
    </row>
    <row r="167" ht="15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</row>
    <row r="168" ht="15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  <c r="AC168" s="124"/>
    </row>
    <row r="169" ht="15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</row>
    <row r="170" ht="15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  <c r="AC170" s="124"/>
    </row>
    <row r="171" ht="15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  <c r="AC171" s="124"/>
    </row>
    <row r="172" ht="15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  <c r="AC172" s="124"/>
    </row>
    <row r="173" ht="15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  <c r="AC173" s="124"/>
    </row>
    <row r="174" ht="15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  <c r="AC174" s="124"/>
    </row>
    <row r="175" ht="15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  <c r="AC175" s="124"/>
    </row>
    <row r="176" ht="15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  <c r="AC176" s="124"/>
    </row>
    <row r="177" ht="15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  <c r="AC177" s="124"/>
    </row>
    <row r="178" ht="15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</row>
    <row r="179" ht="15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  <c r="AC179" s="124"/>
    </row>
    <row r="180" ht="15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  <c r="AC180" s="124"/>
    </row>
    <row r="181" ht="15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  <c r="AC181" s="124"/>
    </row>
    <row r="182" ht="15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  <c r="AC182" s="124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  <c r="AC183" s="124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  <c r="AC184" s="124"/>
    </row>
    <row r="185" ht="15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  <c r="AC185" s="124"/>
    </row>
    <row r="186" ht="15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  <c r="AC186" s="124"/>
    </row>
    <row r="187" ht="15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</row>
    <row r="188" ht="15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  <c r="AC188" s="124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  <c r="AC189" s="124"/>
    </row>
    <row r="190" ht="15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  <c r="AC190" s="124"/>
    </row>
    <row r="191" ht="15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  <c r="AC191" s="124"/>
    </row>
    <row r="192" ht="15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  <c r="AC192" s="124"/>
    </row>
    <row r="193" ht="15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  <c r="AC193" s="124"/>
    </row>
    <row r="194" ht="15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  <c r="AC194" s="124"/>
    </row>
    <row r="195" ht="15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  <c r="AC195" s="124"/>
    </row>
    <row r="196" ht="15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  <c r="AC196" s="124"/>
    </row>
    <row r="197" ht="15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  <c r="AC197" s="124"/>
    </row>
    <row r="198" ht="15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  <c r="AC198" s="124"/>
    </row>
    <row r="199" ht="15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  <c r="AC199" s="124"/>
    </row>
    <row r="200" ht="15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  <c r="AC200" s="124"/>
    </row>
    <row r="201" ht="15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  <c r="AC201" s="124"/>
    </row>
    <row r="202" ht="15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  <c r="AC202" s="124"/>
    </row>
    <row r="203" ht="15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  <c r="AC203" s="124"/>
    </row>
    <row r="204" ht="15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  <c r="AC204" s="124"/>
    </row>
    <row r="205" ht="15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  <c r="AC205" s="124"/>
    </row>
    <row r="206" ht="15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  <c r="AC206" s="124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  <c r="AC207" s="124"/>
    </row>
    <row r="208" ht="15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  <c r="AC208" s="124"/>
    </row>
    <row r="209" ht="15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  <c r="AC209" s="124"/>
    </row>
    <row r="210" ht="15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  <c r="AC210" s="124"/>
    </row>
    <row r="211" ht="15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  <c r="AC211" s="124"/>
    </row>
    <row r="212" ht="15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</row>
    <row r="213" ht="15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</row>
    <row r="214" ht="15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  <c r="AC214" s="124"/>
    </row>
    <row r="215" ht="15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</row>
    <row r="216" ht="15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  <c r="AC216" s="124"/>
    </row>
    <row r="217" ht="15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  <c r="AC217" s="124"/>
    </row>
    <row r="218" ht="15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  <c r="AC218" s="124"/>
    </row>
    <row r="219" ht="15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  <c r="AC219" s="124"/>
    </row>
    <row r="220" ht="15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  <c r="AC220" s="1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8 F3:F8 L3:L8 O3:O8 R3:R8 U3:U8 X3:X8 AA3:AA8 AC3:AC8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</cols>
  <sheetData>
    <row r="1">
      <c r="A1" s="125" t="s">
        <v>125</v>
      </c>
      <c r="B1" s="125" t="s">
        <v>126</v>
      </c>
      <c r="C1" s="125" t="s">
        <v>127</v>
      </c>
      <c r="D1" s="125" t="s">
        <v>10</v>
      </c>
      <c r="E1" s="125" t="s">
        <v>17</v>
      </c>
      <c r="F1" s="125" t="s">
        <v>33</v>
      </c>
      <c r="G1" s="125" t="s">
        <v>40</v>
      </c>
      <c r="H1" s="125" t="s">
        <v>112</v>
      </c>
      <c r="I1" s="125" t="s">
        <v>65</v>
      </c>
      <c r="J1" s="125" t="s">
        <v>128</v>
      </c>
      <c r="K1" s="125" t="s">
        <v>58</v>
      </c>
    </row>
    <row r="2">
      <c r="A2" s="126" t="s">
        <v>117</v>
      </c>
      <c r="B2" s="70">
        <f>'Weekly Store Scorecards '!AC3</f>
        <v>2.093</v>
      </c>
      <c r="C2" s="127" t="str">
        <f t="shared" ref="C2:C6" si="1">IFS(B2&lt;1.7,"Non", B2&lt;2.7,"Low", B2&lt;3.7,"Contributor", B2&lt;4.7,"High", TRUE,"STAR")</f>
        <v>Low</v>
      </c>
      <c r="D2" s="128">
        <f>'Weekly Store Scorecards '!B3</f>
        <v>0.9091627355</v>
      </c>
      <c r="E2" s="128">
        <f>'Weekly Store Scorecards '!E3</f>
        <v>1.053592755</v>
      </c>
      <c r="F2" s="129">
        <f>'Weekly Store Scorecards '!K3</f>
        <v>-0.5</v>
      </c>
      <c r="G2" s="130">
        <f>'Weekly Store Scorecards '!N3</f>
        <v>2.3</v>
      </c>
      <c r="H2" s="131" t="str">
        <f>'Weekly Store Scorecards '!Q3</f>
        <v>NA</v>
      </c>
      <c r="I2" s="132">
        <f>'Weekly Store Scorecards '!Z3</f>
        <v>4.5</v>
      </c>
      <c r="J2" s="133">
        <f>'Weekly Store Scorecards '!T3</f>
        <v>0.0443</v>
      </c>
      <c r="K2" s="134">
        <f>'Weekly Store Scorecards '!W3</f>
        <v>1.52</v>
      </c>
    </row>
    <row r="3">
      <c r="A3" s="126" t="s">
        <v>118</v>
      </c>
      <c r="B3" s="70">
        <f>'Weekly Store Scorecards '!AC4</f>
        <v>2.686</v>
      </c>
      <c r="C3" s="127" t="str">
        <f t="shared" si="1"/>
        <v>Low</v>
      </c>
      <c r="D3" s="135">
        <f>'Weekly Store Scorecards '!B4</f>
        <v>0.8022075244</v>
      </c>
      <c r="E3" s="135">
        <f>'Weekly Store Scorecards '!E4</f>
        <v>0.991307091</v>
      </c>
      <c r="F3" s="136">
        <f>'Weekly Store Scorecards '!K4</f>
        <v>5</v>
      </c>
      <c r="G3" s="137">
        <f>'Weekly Store Scorecards '!N4</f>
        <v>3.7</v>
      </c>
      <c r="H3" s="138">
        <f>'Weekly Store Scorecards '!Q4</f>
        <v>5</v>
      </c>
      <c r="I3" s="139">
        <f>'Weekly Store Scorecards '!Z4</f>
        <v>4.1</v>
      </c>
      <c r="J3" s="140">
        <f>'Weekly Store Scorecards '!T4</f>
        <v>0.0122</v>
      </c>
      <c r="K3" s="141">
        <f>'Weekly Store Scorecards '!W4</f>
        <v>1.45</v>
      </c>
    </row>
    <row r="4">
      <c r="A4" s="126" t="s">
        <v>119</v>
      </c>
      <c r="B4" s="70">
        <f>'Weekly Store Scorecards '!AC5</f>
        <v>3.061</v>
      </c>
      <c r="C4" s="127" t="str">
        <f t="shared" si="1"/>
        <v>Contributor</v>
      </c>
      <c r="D4" s="135">
        <f>'Weekly Store Scorecards '!B5</f>
        <v>0.7159853453</v>
      </c>
      <c r="E4" s="135">
        <f>'Weekly Store Scorecards '!E5</f>
        <v>0.8586523126</v>
      </c>
      <c r="F4" s="142">
        <f>'Weekly Store Scorecards '!K5</f>
        <v>-0.2</v>
      </c>
      <c r="G4" s="137">
        <f>'Weekly Store Scorecards '!N5</f>
        <v>3.2</v>
      </c>
      <c r="H4" s="143">
        <f>'Weekly Store Scorecards '!Q5</f>
        <v>5</v>
      </c>
      <c r="I4" s="144">
        <f>'Weekly Store Scorecards '!Z5</f>
        <v>4.5</v>
      </c>
      <c r="J4" s="145">
        <f>'Weekly Store Scorecards '!T5</f>
        <v>0.0412</v>
      </c>
      <c r="K4" s="146">
        <f>'Weekly Store Scorecards '!W5</f>
        <v>1.2</v>
      </c>
    </row>
    <row r="5">
      <c r="A5" s="126" t="s">
        <v>120</v>
      </c>
      <c r="B5" s="70">
        <f>'Weekly Store Scorecards '!AC6</f>
        <v>4.29</v>
      </c>
      <c r="C5" s="127" t="str">
        <f t="shared" si="1"/>
        <v>High</v>
      </c>
      <c r="D5" s="128">
        <f>'Weekly Store Scorecards '!B6</f>
        <v>1.127917327</v>
      </c>
      <c r="E5" s="147">
        <f>'Weekly Store Scorecards '!E6</f>
        <v>1.088530113</v>
      </c>
      <c r="F5" s="148">
        <f>'Weekly Store Scorecards '!K6</f>
        <v>-4</v>
      </c>
      <c r="G5" s="149">
        <f>'Weekly Store Scorecards '!N6</f>
        <v>2.2</v>
      </c>
      <c r="H5" s="131">
        <f>'Weekly Store Scorecards '!Q6</f>
        <v>5</v>
      </c>
      <c r="I5" s="132">
        <f>'Weekly Store Scorecards '!Z6</f>
        <v>4.4</v>
      </c>
      <c r="J5" s="150">
        <f>'Weekly Store Scorecards '!T6</f>
        <v>0.0114</v>
      </c>
      <c r="K5" s="151">
        <f>'Weekly Store Scorecards '!W6</f>
        <v>1.13</v>
      </c>
    </row>
    <row r="6">
      <c r="A6" s="126" t="s">
        <v>121</v>
      </c>
      <c r="B6" s="70">
        <f>'Weekly Store Scorecards '!AC7</f>
        <v>3.055</v>
      </c>
      <c r="C6" s="127" t="str">
        <f t="shared" si="1"/>
        <v>Contributor</v>
      </c>
      <c r="D6" s="152">
        <f>'Weekly Store Scorecards '!B7</f>
        <v>0.8999248072</v>
      </c>
      <c r="E6" s="128">
        <f>'Weekly Store Scorecards '!E7</f>
        <v>0.8220935645</v>
      </c>
      <c r="F6" s="148">
        <f>'Weekly Store Scorecards '!K7</f>
        <v>-1.6</v>
      </c>
      <c r="G6" s="148">
        <f>'Weekly Store Scorecards '!N7</f>
        <v>-1.5</v>
      </c>
      <c r="H6" s="153">
        <f>'Weekly Store Scorecards '!Q7</f>
        <v>4.3</v>
      </c>
      <c r="I6" s="139">
        <f>'Weekly Store Scorecards '!Z7</f>
        <v>4.1</v>
      </c>
      <c r="J6" s="154">
        <f>'Weekly Store Scorecards '!T7</f>
        <v>0.046</v>
      </c>
      <c r="K6" s="155">
        <f>'Weekly Store Scorecards '!W7</f>
        <v>1.68</v>
      </c>
    </row>
    <row r="7">
      <c r="A7" s="156" t="s">
        <v>122</v>
      </c>
      <c r="B7" s="104">
        <f>'Weekly Store Scorecards '!AC8</f>
        <v>3.274</v>
      </c>
      <c r="C7" s="157"/>
      <c r="D7" s="158">
        <f>'Weekly Store Scorecards '!B8</f>
        <v>0.8582946093</v>
      </c>
      <c r="E7" s="159">
        <f>'Weekly Store Scorecards '!E8</f>
        <v>0.9403052886</v>
      </c>
      <c r="F7" s="160">
        <f>'Weekly Store Scorecards '!K8</f>
        <v>0</v>
      </c>
      <c r="G7" s="161">
        <f>'Weekly Store Scorecards '!N8</f>
        <v>2</v>
      </c>
      <c r="H7" s="162">
        <f>'Weekly Store Scorecards '!Q8</f>
        <v>4.71</v>
      </c>
      <c r="I7" s="163">
        <f>'Weekly Store Scorecards '!Z8</f>
        <v>4.32</v>
      </c>
      <c r="J7" s="164">
        <f>'Weekly Store Scorecards '!T8</f>
        <v>0.03102</v>
      </c>
      <c r="K7" s="165">
        <f>'Weekly Store Scorecards '!W8</f>
        <v>1.33</v>
      </c>
    </row>
    <row r="8">
      <c r="A8" s="166"/>
      <c r="B8" s="167"/>
      <c r="C8" s="167"/>
      <c r="D8" s="167"/>
      <c r="E8" s="167"/>
      <c r="F8" s="167"/>
      <c r="G8" s="167"/>
      <c r="H8" s="167"/>
      <c r="I8" s="167"/>
      <c r="J8" s="167"/>
      <c r="K8" s="167"/>
    </row>
    <row r="9">
      <c r="A9" s="166"/>
      <c r="B9" s="168"/>
      <c r="C9" s="167"/>
      <c r="D9" s="167"/>
      <c r="E9" s="167"/>
      <c r="F9" s="167"/>
      <c r="G9" s="167"/>
      <c r="H9" s="167"/>
      <c r="I9" s="167"/>
      <c r="J9" s="167"/>
      <c r="K9" s="167"/>
    </row>
    <row r="10">
      <c r="A10" s="169"/>
      <c r="B10" s="170">
        <v>2.0</v>
      </c>
      <c r="C10" s="171">
        <v>3.0</v>
      </c>
      <c r="D10" s="170">
        <v>4.0</v>
      </c>
      <c r="E10" s="171">
        <v>5.0</v>
      </c>
      <c r="F10" s="170">
        <v>6.0</v>
      </c>
      <c r="G10" s="171">
        <v>7.0</v>
      </c>
      <c r="H10" s="170">
        <v>8.0</v>
      </c>
      <c r="I10" s="171">
        <v>9.0</v>
      </c>
      <c r="J10" s="170">
        <v>10.0</v>
      </c>
      <c r="K10" s="171">
        <v>11.0</v>
      </c>
    </row>
    <row r="11">
      <c r="A11" s="172"/>
      <c r="B11" s="171"/>
      <c r="C11" s="171"/>
      <c r="D11" s="171"/>
      <c r="E11" s="171"/>
      <c r="F11" s="171"/>
      <c r="G11" s="171"/>
      <c r="H11" s="171"/>
      <c r="I11" s="171"/>
      <c r="J11" s="171"/>
      <c r="K11" s="171"/>
    </row>
    <row r="12">
      <c r="A12" s="172"/>
      <c r="B12" s="171"/>
      <c r="C12" s="171"/>
      <c r="D12" s="171"/>
      <c r="E12" s="171"/>
      <c r="F12" s="171"/>
      <c r="G12" s="171"/>
      <c r="H12" s="171"/>
      <c r="I12" s="171"/>
      <c r="J12" s="171"/>
      <c r="K12" s="171"/>
    </row>
    <row r="13">
      <c r="A13" s="172"/>
      <c r="B13" s="171"/>
      <c r="C13" s="171"/>
      <c r="D13" s="171"/>
      <c r="E13" s="171"/>
      <c r="F13" s="171"/>
      <c r="G13" s="171"/>
      <c r="H13" s="171"/>
      <c r="I13" s="171"/>
      <c r="J13" s="171"/>
      <c r="K13" s="171"/>
    </row>
    <row r="14">
      <c r="A14" s="172"/>
      <c r="B14" s="171"/>
      <c r="C14" s="171"/>
      <c r="D14" s="171"/>
      <c r="E14" s="171"/>
      <c r="F14" s="171"/>
      <c r="G14" s="171"/>
      <c r="H14" s="171"/>
      <c r="I14" s="171"/>
      <c r="J14" s="171"/>
      <c r="K14" s="171"/>
    </row>
    <row r="15">
      <c r="A15" s="172"/>
      <c r="B15" s="171"/>
      <c r="C15" s="171"/>
      <c r="D15" s="171"/>
      <c r="E15" s="171"/>
      <c r="F15" s="171"/>
      <c r="G15" s="171"/>
      <c r="H15" s="171"/>
      <c r="I15" s="171"/>
      <c r="J15" s="171"/>
      <c r="K15" s="171"/>
    </row>
    <row r="16">
      <c r="A16" s="172"/>
      <c r="B16" s="171"/>
      <c r="C16" s="171"/>
      <c r="D16" s="171"/>
      <c r="E16" s="171"/>
      <c r="F16" s="171"/>
      <c r="G16" s="171"/>
      <c r="H16" s="171"/>
      <c r="I16" s="171"/>
      <c r="J16" s="171"/>
      <c r="K16" s="171"/>
    </row>
    <row r="17">
      <c r="A17" s="172"/>
      <c r="B17" s="171"/>
      <c r="C17" s="171"/>
      <c r="D17" s="171"/>
      <c r="E17" s="171"/>
      <c r="F17" s="171"/>
      <c r="G17" s="171"/>
      <c r="H17" s="171"/>
      <c r="I17" s="171"/>
      <c r="J17" s="171"/>
      <c r="K17" s="171"/>
    </row>
    <row r="18">
      <c r="A18" s="172"/>
      <c r="B18" s="171"/>
      <c r="C18" s="171"/>
      <c r="D18" s="171"/>
      <c r="E18" s="171"/>
      <c r="F18" s="171"/>
      <c r="G18" s="171"/>
      <c r="H18" s="171"/>
      <c r="I18" s="171"/>
      <c r="J18" s="171"/>
      <c r="K18" s="171"/>
    </row>
    <row r="19">
      <c r="A19" s="172"/>
      <c r="B19" s="171"/>
      <c r="C19" s="171"/>
      <c r="D19" s="171"/>
      <c r="E19" s="171"/>
      <c r="F19" s="171"/>
      <c r="G19" s="171"/>
      <c r="H19" s="171"/>
      <c r="I19" s="171"/>
      <c r="J19" s="171"/>
      <c r="K19" s="171"/>
    </row>
    <row r="20">
      <c r="A20" s="172"/>
      <c r="B20" s="171"/>
      <c r="C20" s="171"/>
      <c r="D20" s="171"/>
      <c r="E20" s="171"/>
      <c r="F20" s="171"/>
      <c r="G20" s="171"/>
      <c r="H20" s="171"/>
      <c r="I20" s="171"/>
      <c r="J20" s="171"/>
      <c r="K20" s="171"/>
    </row>
    <row r="21" ht="15.75" customHeight="1">
      <c r="A21" s="172"/>
    </row>
    <row r="22" ht="15.75" customHeight="1">
      <c r="A22" s="172"/>
    </row>
    <row r="23" ht="15.75" customHeight="1">
      <c r="A23" s="172"/>
    </row>
    <row r="24" ht="15.75" customHeight="1">
      <c r="A24" s="172"/>
    </row>
    <row r="25" ht="15.75" customHeight="1">
      <c r="A25" s="172"/>
    </row>
    <row r="26" ht="15.75" customHeight="1">
      <c r="A26" s="172"/>
    </row>
    <row r="27" ht="15.75" customHeight="1">
      <c r="A27" s="172"/>
    </row>
    <row r="28" ht="15.75" customHeight="1">
      <c r="A28" s="172"/>
    </row>
    <row r="29" ht="15.75" customHeight="1">
      <c r="A29" s="172"/>
    </row>
    <row r="30" ht="15.75" customHeight="1">
      <c r="A30" s="172"/>
    </row>
    <row r="31" ht="15.75" customHeight="1">
      <c r="A31" s="172"/>
    </row>
    <row r="32" ht="15.75" customHeight="1">
      <c r="A32" s="172"/>
    </row>
    <row r="33" ht="15.75" customHeight="1">
      <c r="A33" s="172"/>
    </row>
    <row r="34" ht="15.75" customHeight="1">
      <c r="A34" s="172"/>
    </row>
    <row r="35" ht="15.75" customHeight="1">
      <c r="A35" s="172"/>
    </row>
    <row r="36" ht="15.75" customHeight="1">
      <c r="A36" s="172"/>
    </row>
    <row r="37" ht="15.75" customHeight="1">
      <c r="A37" s="172"/>
    </row>
    <row r="38" ht="15.75" customHeight="1">
      <c r="A38" s="172"/>
    </row>
    <row r="39" ht="15.75" customHeight="1">
      <c r="A39" s="172"/>
    </row>
    <row r="40" ht="15.75" customHeight="1">
      <c r="A40" s="172"/>
    </row>
    <row r="41" ht="15.75" customHeight="1">
      <c r="A41" s="172"/>
    </row>
    <row r="42" ht="15.75" customHeight="1">
      <c r="A42" s="172"/>
    </row>
    <row r="43" ht="15.75" customHeight="1">
      <c r="A43" s="172"/>
    </row>
    <row r="44" ht="15.75" customHeight="1">
      <c r="A44" s="172"/>
    </row>
    <row r="45" ht="15.75" customHeight="1">
      <c r="A45" s="172"/>
    </row>
    <row r="46" ht="15.75" customHeight="1">
      <c r="A46" s="172"/>
    </row>
    <row r="47" ht="15.75" customHeight="1">
      <c r="A47" s="172"/>
    </row>
    <row r="48" ht="15.75" customHeight="1">
      <c r="A48" s="172"/>
    </row>
    <row r="49" ht="15.75" customHeight="1">
      <c r="A49" s="172"/>
    </row>
    <row r="50" ht="15.75" customHeight="1">
      <c r="A50" s="172"/>
    </row>
    <row r="51" ht="15.75" customHeight="1">
      <c r="A51" s="172"/>
    </row>
    <row r="52" ht="15.75" customHeight="1">
      <c r="A52" s="172"/>
    </row>
    <row r="53" ht="15.75" customHeight="1">
      <c r="A53" s="172"/>
    </row>
    <row r="54" ht="15.75" customHeight="1">
      <c r="A54" s="172"/>
    </row>
    <row r="55" ht="15.75" customHeight="1">
      <c r="A55" s="172"/>
    </row>
    <row r="56" ht="15.75" customHeight="1">
      <c r="A56" s="172"/>
    </row>
    <row r="57" ht="15.75" customHeight="1">
      <c r="A57" s="172"/>
    </row>
    <row r="58" ht="15.75" customHeight="1">
      <c r="A58" s="172"/>
    </row>
    <row r="59" ht="15.75" customHeight="1">
      <c r="A59" s="172"/>
    </row>
    <row r="60" ht="15.75" customHeight="1">
      <c r="A60" s="172"/>
    </row>
    <row r="61" ht="15.75" customHeight="1">
      <c r="A61" s="172"/>
    </row>
    <row r="62" ht="15.75" customHeight="1">
      <c r="A62" s="172"/>
    </row>
    <row r="63" ht="15.75" customHeight="1">
      <c r="A63" s="172"/>
    </row>
    <row r="64" ht="15.75" customHeight="1">
      <c r="A64" s="172"/>
    </row>
    <row r="65" ht="15.75" customHeight="1">
      <c r="A65" s="172"/>
    </row>
    <row r="66" ht="15.75" customHeight="1">
      <c r="A66" s="172"/>
    </row>
    <row r="67" ht="15.75" customHeight="1">
      <c r="A67" s="172"/>
    </row>
    <row r="68" ht="15.75" customHeight="1">
      <c r="A68" s="172"/>
    </row>
    <row r="69" ht="15.75" customHeight="1">
      <c r="A69" s="172"/>
    </row>
    <row r="70" ht="15.75" customHeight="1">
      <c r="A70" s="172"/>
    </row>
    <row r="71" ht="15.75" customHeight="1">
      <c r="A71" s="172"/>
    </row>
    <row r="72" ht="15.75" customHeight="1">
      <c r="A72" s="172"/>
    </row>
    <row r="73" ht="15.75" customHeight="1">
      <c r="A73" s="172"/>
    </row>
    <row r="74" ht="15.75" customHeight="1">
      <c r="A74" s="172"/>
    </row>
    <row r="75" ht="15.75" customHeight="1">
      <c r="A75" s="172"/>
    </row>
    <row r="76" ht="15.75" customHeight="1">
      <c r="A76" s="172"/>
    </row>
    <row r="77" ht="15.75" customHeight="1">
      <c r="A77" s="172"/>
    </row>
    <row r="78" ht="15.75" customHeight="1">
      <c r="A78" s="172"/>
    </row>
    <row r="79" ht="15.75" customHeight="1">
      <c r="A79" s="172"/>
    </row>
    <row r="80" ht="15.75" customHeight="1">
      <c r="A80" s="172"/>
    </row>
    <row r="81" ht="15.75" customHeight="1">
      <c r="A81" s="172"/>
    </row>
    <row r="82" ht="15.75" customHeight="1">
      <c r="A82" s="172"/>
    </row>
    <row r="83" ht="15.75" customHeight="1">
      <c r="A83" s="172"/>
    </row>
    <row r="84" ht="15.75" customHeight="1">
      <c r="A84" s="172"/>
    </row>
    <row r="85" ht="15.75" customHeight="1">
      <c r="A85" s="172"/>
    </row>
    <row r="86" ht="15.75" customHeight="1">
      <c r="A86" s="172"/>
    </row>
    <row r="87" ht="15.75" customHeight="1">
      <c r="A87" s="172"/>
    </row>
    <row r="88" ht="15.75" customHeight="1">
      <c r="A88" s="172"/>
    </row>
    <row r="89" ht="15.75" customHeight="1">
      <c r="A89" s="172"/>
    </row>
    <row r="90" ht="15.75" customHeight="1">
      <c r="A90" s="172"/>
    </row>
    <row r="91" ht="15.75" customHeight="1">
      <c r="A91" s="172"/>
    </row>
    <row r="92" ht="15.75" customHeight="1">
      <c r="A92" s="172"/>
    </row>
    <row r="93" ht="15.75" customHeight="1">
      <c r="A93" s="172"/>
    </row>
    <row r="94" ht="15.75" customHeight="1">
      <c r="A94" s="172"/>
    </row>
    <row r="95" ht="15.75" customHeight="1">
      <c r="A95" s="172"/>
    </row>
    <row r="96" ht="15.75" customHeight="1">
      <c r="A96" s="172"/>
    </row>
    <row r="97" ht="15.75" customHeight="1">
      <c r="A97" s="172"/>
    </row>
    <row r="98" ht="15.75" customHeight="1">
      <c r="A98" s="172"/>
    </row>
    <row r="99" ht="15.75" customHeight="1">
      <c r="A99" s="172"/>
    </row>
    <row r="100" ht="15.75" customHeight="1">
      <c r="A100" s="172"/>
    </row>
    <row r="101" ht="15.75" customHeight="1">
      <c r="A101" s="172"/>
    </row>
    <row r="102" ht="15.75" customHeight="1">
      <c r="A102" s="172"/>
    </row>
    <row r="103" ht="15.75" customHeight="1">
      <c r="A103" s="172"/>
    </row>
    <row r="104" ht="15.75" customHeight="1">
      <c r="A104" s="172"/>
    </row>
    <row r="105" ht="15.75" customHeight="1">
      <c r="A105" s="172"/>
    </row>
    <row r="106" ht="15.75" customHeight="1">
      <c r="A106" s="172"/>
    </row>
    <row r="107" ht="15.75" customHeight="1">
      <c r="A107" s="172"/>
    </row>
    <row r="108" ht="15.75" customHeight="1">
      <c r="A108" s="172"/>
    </row>
    <row r="109" ht="15.75" customHeight="1">
      <c r="A109" s="172"/>
    </row>
    <row r="110" ht="15.75" customHeight="1">
      <c r="A110" s="172"/>
    </row>
    <row r="111" ht="15.75" customHeight="1">
      <c r="A111" s="172"/>
    </row>
    <row r="112" ht="15.75" customHeight="1">
      <c r="A112" s="172"/>
    </row>
    <row r="113" ht="15.75" customHeight="1">
      <c r="A113" s="172"/>
    </row>
    <row r="114" ht="15.75" customHeight="1">
      <c r="A114" s="172"/>
    </row>
    <row r="115" ht="15.75" customHeight="1">
      <c r="A115" s="172"/>
    </row>
    <row r="116" ht="15.75" customHeight="1">
      <c r="A116" s="172"/>
    </row>
    <row r="117" ht="15.75" customHeight="1">
      <c r="A117" s="172"/>
    </row>
    <row r="118" ht="15.75" customHeight="1">
      <c r="A118" s="172"/>
    </row>
    <row r="119" ht="15.75" customHeight="1">
      <c r="A119" s="172"/>
    </row>
    <row r="120" ht="15.75" customHeight="1">
      <c r="A120" s="172"/>
    </row>
    <row r="121" ht="15.75" customHeight="1">
      <c r="A121" s="172"/>
    </row>
    <row r="122" ht="15.75" customHeight="1">
      <c r="A122" s="172"/>
    </row>
    <row r="123" ht="15.75" customHeight="1">
      <c r="A123" s="172"/>
    </row>
    <row r="124" ht="15.75" customHeight="1">
      <c r="A124" s="172"/>
    </row>
    <row r="125" ht="15.75" customHeight="1">
      <c r="A125" s="172"/>
    </row>
    <row r="126" ht="15.75" customHeight="1">
      <c r="A126" s="172"/>
    </row>
    <row r="127" ht="15.75" customHeight="1">
      <c r="A127" s="172"/>
    </row>
    <row r="128" ht="15.75" customHeight="1">
      <c r="A128" s="172"/>
    </row>
    <row r="129" ht="15.75" customHeight="1">
      <c r="A129" s="172"/>
    </row>
    <row r="130" ht="15.75" customHeight="1">
      <c r="A130" s="172"/>
    </row>
    <row r="131" ht="15.75" customHeight="1">
      <c r="A131" s="172"/>
    </row>
    <row r="132" ht="15.75" customHeight="1">
      <c r="A132" s="172"/>
    </row>
    <row r="133" ht="15.75" customHeight="1">
      <c r="A133" s="172"/>
    </row>
    <row r="134" ht="15.75" customHeight="1">
      <c r="A134" s="172"/>
    </row>
    <row r="135" ht="15.75" customHeight="1">
      <c r="A135" s="172"/>
    </row>
    <row r="136" ht="15.75" customHeight="1">
      <c r="A136" s="172"/>
    </row>
    <row r="137" ht="15.75" customHeight="1">
      <c r="A137" s="172"/>
    </row>
    <row r="138" ht="15.75" customHeight="1">
      <c r="A138" s="172"/>
    </row>
    <row r="139" ht="15.75" customHeight="1">
      <c r="A139" s="172"/>
    </row>
    <row r="140" ht="15.75" customHeight="1">
      <c r="A140" s="172"/>
    </row>
    <row r="141" ht="15.75" customHeight="1">
      <c r="A141" s="172"/>
    </row>
    <row r="142" ht="15.75" customHeight="1">
      <c r="A142" s="172"/>
    </row>
    <row r="143" ht="15.75" customHeight="1">
      <c r="A143" s="172"/>
    </row>
    <row r="144" ht="15.75" customHeight="1">
      <c r="A144" s="172"/>
    </row>
    <row r="145" ht="15.75" customHeight="1">
      <c r="A145" s="172"/>
    </row>
    <row r="146" ht="15.75" customHeight="1">
      <c r="A146" s="172"/>
    </row>
    <row r="147" ht="15.75" customHeight="1">
      <c r="A147" s="172"/>
    </row>
    <row r="148" ht="15.75" customHeight="1">
      <c r="A148" s="172"/>
    </row>
    <row r="149" ht="15.75" customHeight="1">
      <c r="A149" s="172"/>
    </row>
    <row r="150" ht="15.75" customHeight="1">
      <c r="A150" s="172"/>
    </row>
    <row r="151" ht="15.75" customHeight="1">
      <c r="A151" s="172"/>
    </row>
    <row r="152" ht="15.75" customHeight="1">
      <c r="A152" s="172"/>
    </row>
    <row r="153" ht="15.75" customHeight="1">
      <c r="A153" s="172"/>
    </row>
    <row r="154" ht="15.75" customHeight="1">
      <c r="A154" s="172"/>
    </row>
    <row r="155" ht="15.75" customHeight="1">
      <c r="A155" s="172"/>
    </row>
    <row r="156" ht="15.75" customHeight="1">
      <c r="A156" s="172"/>
    </row>
    <row r="157" ht="15.75" customHeight="1">
      <c r="A157" s="172"/>
    </row>
    <row r="158" ht="15.75" customHeight="1">
      <c r="A158" s="172"/>
    </row>
    <row r="159" ht="15.75" customHeight="1">
      <c r="A159" s="172"/>
    </row>
    <row r="160" ht="15.75" customHeight="1">
      <c r="A160" s="172"/>
    </row>
    <row r="161" ht="15.75" customHeight="1">
      <c r="A161" s="172"/>
    </row>
    <row r="162" ht="15.75" customHeight="1">
      <c r="A162" s="172"/>
    </row>
    <row r="163" ht="15.75" customHeight="1">
      <c r="A163" s="172"/>
    </row>
    <row r="164" ht="15.75" customHeight="1">
      <c r="A164" s="172"/>
    </row>
    <row r="165" ht="15.75" customHeight="1">
      <c r="A165" s="172"/>
    </row>
    <row r="166" ht="15.75" customHeight="1">
      <c r="A166" s="172"/>
    </row>
    <row r="167" ht="15.75" customHeight="1">
      <c r="A167" s="172"/>
    </row>
    <row r="168" ht="15.75" customHeight="1">
      <c r="A168" s="172"/>
    </row>
    <row r="169" ht="15.75" customHeight="1">
      <c r="A169" s="172"/>
    </row>
    <row r="170" ht="15.75" customHeight="1">
      <c r="A170" s="172"/>
    </row>
    <row r="171" ht="15.75" customHeight="1">
      <c r="A171" s="172"/>
    </row>
    <row r="172" ht="15.75" customHeight="1">
      <c r="A172" s="172"/>
    </row>
    <row r="173" ht="15.75" customHeight="1">
      <c r="A173" s="172"/>
    </row>
    <row r="174" ht="15.75" customHeight="1">
      <c r="A174" s="172"/>
    </row>
    <row r="175" ht="15.75" customHeight="1">
      <c r="A175" s="172"/>
    </row>
    <row r="176" ht="15.75" customHeight="1">
      <c r="A176" s="172"/>
    </row>
    <row r="177" ht="15.75" customHeight="1">
      <c r="A177" s="172"/>
    </row>
    <row r="178" ht="15.75" customHeight="1">
      <c r="A178" s="172"/>
    </row>
    <row r="179" ht="15.75" customHeight="1">
      <c r="A179" s="172"/>
    </row>
    <row r="180" ht="15.75" customHeight="1">
      <c r="A180" s="172"/>
    </row>
    <row r="181" ht="15.75" customHeight="1">
      <c r="A181" s="172"/>
    </row>
    <row r="182" ht="15.75" customHeight="1">
      <c r="A182" s="172"/>
    </row>
    <row r="183" ht="15.75" customHeight="1">
      <c r="A183" s="172"/>
    </row>
    <row r="184" ht="15.75" customHeight="1">
      <c r="A184" s="172"/>
    </row>
    <row r="185" ht="15.75" customHeight="1">
      <c r="A185" s="172"/>
    </row>
    <row r="186" ht="15.75" customHeight="1">
      <c r="A186" s="172"/>
    </row>
    <row r="187" ht="15.75" customHeight="1">
      <c r="A187" s="172"/>
    </row>
    <row r="188" ht="15.75" customHeight="1">
      <c r="A188" s="172"/>
    </row>
    <row r="189" ht="15.75" customHeight="1">
      <c r="A189" s="172"/>
    </row>
    <row r="190" ht="15.75" customHeight="1">
      <c r="A190" s="172"/>
    </row>
    <row r="191" ht="15.75" customHeight="1">
      <c r="A191" s="172"/>
    </row>
    <row r="192" ht="15.75" customHeight="1">
      <c r="A192" s="172"/>
    </row>
    <row r="193" ht="15.75" customHeight="1">
      <c r="A193" s="172"/>
    </row>
    <row r="194" ht="15.75" customHeight="1">
      <c r="A194" s="172"/>
    </row>
    <row r="195" ht="15.75" customHeight="1">
      <c r="A195" s="172"/>
    </row>
    <row r="196" ht="15.75" customHeight="1">
      <c r="A196" s="172"/>
    </row>
    <row r="197" ht="15.75" customHeight="1">
      <c r="A197" s="172"/>
    </row>
    <row r="198" ht="15.75" customHeight="1">
      <c r="A198" s="172"/>
    </row>
    <row r="199" ht="15.75" customHeight="1">
      <c r="A199" s="172"/>
    </row>
    <row r="200" ht="15.75" customHeight="1">
      <c r="A200" s="172"/>
    </row>
    <row r="201" ht="15.75" customHeight="1">
      <c r="A201" s="172"/>
    </row>
    <row r="202" ht="15.75" customHeight="1">
      <c r="A202" s="172"/>
    </row>
    <row r="203" ht="15.75" customHeight="1">
      <c r="A203" s="172"/>
    </row>
    <row r="204" ht="15.75" customHeight="1">
      <c r="A204" s="172"/>
    </row>
    <row r="205" ht="15.75" customHeight="1">
      <c r="A205" s="172"/>
    </row>
    <row r="206" ht="15.75" customHeight="1">
      <c r="A206" s="172"/>
    </row>
    <row r="207" ht="15.75" customHeight="1">
      <c r="A207" s="172"/>
    </row>
    <row r="208" ht="15.75" customHeight="1">
      <c r="A208" s="172"/>
    </row>
    <row r="209" ht="15.75" customHeight="1">
      <c r="A209" s="172"/>
    </row>
    <row r="210" ht="15.75" customHeight="1">
      <c r="A210" s="172"/>
    </row>
    <row r="211" ht="15.75" customHeight="1">
      <c r="A211" s="172"/>
    </row>
    <row r="212" ht="15.75" customHeight="1">
      <c r="A212" s="172"/>
    </row>
    <row r="213" ht="15.75" customHeight="1">
      <c r="A213" s="172"/>
    </row>
    <row r="214" ht="15.75" customHeight="1">
      <c r="A214" s="172"/>
    </row>
    <row r="215" ht="15.75" customHeight="1">
      <c r="A215" s="172"/>
    </row>
    <row r="216" ht="15.75" customHeight="1">
      <c r="A216" s="172"/>
    </row>
    <row r="217" ht="15.75" customHeight="1">
      <c r="A217" s="172"/>
    </row>
    <row r="218" ht="15.75" customHeight="1">
      <c r="A218" s="172"/>
    </row>
    <row r="219" ht="15.75" customHeight="1">
      <c r="A219" s="172"/>
    </row>
    <row r="220" ht="15.75" customHeight="1">
      <c r="A220" s="17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8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25" t="s">
        <v>125</v>
      </c>
      <c r="B1" s="125" t="s">
        <v>10</v>
      </c>
      <c r="C1" s="125" t="s">
        <v>115</v>
      </c>
      <c r="D1" s="173" t="s">
        <v>116</v>
      </c>
      <c r="E1" s="125" t="s">
        <v>17</v>
      </c>
      <c r="F1" s="125" t="s">
        <v>115</v>
      </c>
      <c r="G1" s="173" t="s">
        <v>116</v>
      </c>
      <c r="H1" s="125" t="s">
        <v>25</v>
      </c>
      <c r="I1" s="125" t="s">
        <v>115</v>
      </c>
      <c r="J1" s="125" t="s">
        <v>116</v>
      </c>
      <c r="K1" s="174" t="s">
        <v>129</v>
      </c>
      <c r="L1" s="125" t="s">
        <v>115</v>
      </c>
      <c r="M1" s="125" t="s">
        <v>116</v>
      </c>
      <c r="N1" s="174" t="s">
        <v>130</v>
      </c>
      <c r="O1" s="125" t="s">
        <v>115</v>
      </c>
      <c r="P1" s="125" t="s">
        <v>116</v>
      </c>
      <c r="Q1" s="125" t="s">
        <v>43</v>
      </c>
      <c r="R1" s="175" t="s">
        <v>115</v>
      </c>
      <c r="S1" s="125" t="s">
        <v>116</v>
      </c>
      <c r="T1" s="125" t="s">
        <v>50</v>
      </c>
      <c r="U1" s="125" t="s">
        <v>115</v>
      </c>
      <c r="V1" s="125" t="s">
        <v>116</v>
      </c>
      <c r="W1" s="125" t="s">
        <v>51</v>
      </c>
      <c r="X1" s="125" t="s">
        <v>115</v>
      </c>
      <c r="Y1" s="125" t="s">
        <v>116</v>
      </c>
      <c r="Z1" s="176" t="s">
        <v>58</v>
      </c>
      <c r="AA1" s="125" t="s">
        <v>115</v>
      </c>
      <c r="AB1" s="125" t="s">
        <v>116</v>
      </c>
      <c r="AC1" s="125" t="s">
        <v>65</v>
      </c>
      <c r="AD1" s="125" t="s">
        <v>115</v>
      </c>
      <c r="AE1" s="125" t="s">
        <v>116</v>
      </c>
      <c r="AF1" s="125" t="s">
        <v>66</v>
      </c>
      <c r="AG1" s="125" t="s">
        <v>115</v>
      </c>
      <c r="AH1" s="125" t="s">
        <v>116</v>
      </c>
      <c r="AI1" s="125" t="s">
        <v>73</v>
      </c>
      <c r="AJ1" s="125" t="s">
        <v>115</v>
      </c>
      <c r="AK1" s="125" t="s">
        <v>116</v>
      </c>
      <c r="AL1" s="125" t="s">
        <v>131</v>
      </c>
      <c r="AM1" s="125" t="s">
        <v>115</v>
      </c>
      <c r="AN1" s="125" t="s">
        <v>116</v>
      </c>
      <c r="AO1" s="125" t="s">
        <v>132</v>
      </c>
      <c r="AP1" s="125" t="s">
        <v>133</v>
      </c>
      <c r="AQ1" s="177"/>
      <c r="AR1" s="177"/>
      <c r="AS1" s="177"/>
      <c r="AT1" s="177"/>
      <c r="AU1" s="177"/>
    </row>
    <row r="2">
      <c r="A2" s="178" t="s">
        <v>117</v>
      </c>
      <c r="B2" s="179">
        <f>100%+'Weekly Tables'!I3</f>
        <v>0.9091627355</v>
      </c>
      <c r="C2" s="180">
        <f t="shared" ref="C2:C6" si="1">IFS(B2="", "", B2&lt;90%,0, B2&lt;95%,1, B2&lt;=98%,2, B2&lt;=101%,3, B2&lt;=105%,4, TRUE,5)</f>
        <v>1</v>
      </c>
      <c r="D2" s="181">
        <f t="shared" ref="D2:D6" si="2">IF(C2="","",C2*5/100)</f>
        <v>0.05</v>
      </c>
      <c r="E2" s="182">
        <f>100%+'Weekly Tables'!F3</f>
        <v>1.053592755</v>
      </c>
      <c r="F2" s="183">
        <f t="shared" ref="F2:F6" si="3">IFS(E2="", "", E2&lt;90%,0, E2&lt;95%,1, E2&lt;=98%,2, E2&lt;=101%,3, E2&lt;=105%,4, TRUE,5)</f>
        <v>5</v>
      </c>
      <c r="G2" s="184">
        <f t="shared" ref="G2:G6" si="4">IF(F2="","",F2*5/100)</f>
        <v>0.25</v>
      </c>
      <c r="H2" s="185"/>
      <c r="I2" s="186" t="str">
        <f t="shared" ref="I2:I6" si="5">IFS(H2="", "", H2&lt;75,0, H2&lt;85,1, H2&lt;95,2, H2&lt;=100,3, H2&lt;=105,4, TRUE,5)</f>
        <v/>
      </c>
      <c r="J2" s="186" t="str">
        <f t="shared" ref="J2:J6" si="6">IF(I2="","",I2*15/100)</f>
        <v/>
      </c>
      <c r="K2" s="187">
        <f>'Weekly Tables'!L3*100</f>
        <v>-0.5</v>
      </c>
      <c r="L2" s="180">
        <f t="shared" ref="L2:L6" si="7">IFS(K2="", "", K2&gt;=3,0, K2&gt;=2,1, K2&gt;=1,2, K2&gt;=0,3, K2&lt;=-1,5, K2&lt;=-0.5,4, TRUE,3)</f>
        <v>4</v>
      </c>
      <c r="M2" s="188">
        <f t="shared" ref="M2:M6" si="8">IF(L2="","",L2*15/100)</f>
        <v>0.6</v>
      </c>
      <c r="N2" s="189">
        <f>'Weekly Tables'!O3*100</f>
        <v>2.3</v>
      </c>
      <c r="O2" s="183">
        <f t="shared" ref="O2:O6" si="9">IFS(N2="", "", N2&gt;=3,0, N2&gt;=2,1, N2&gt;=1,2, N2&gt;=0,3, N2&lt;=-1,5, N2&lt;=-0.5,4, TRUE,3)</f>
        <v>1</v>
      </c>
      <c r="P2" s="190">
        <f t="shared" ref="P2:P6" si="10">IF(O2="","",O2*15/100)</f>
        <v>0.15</v>
      </c>
      <c r="Q2" s="191" t="str">
        <f>'Weekly Tables'!M12</f>
        <v>NA</v>
      </c>
      <c r="R2" s="180" t="str">
        <f t="shared" ref="R2:R6" si="11">IFS(Q2="", "", Q2="NA","" ,Q2&lt;3.8,0, Q2&lt;4,1, Q2&lt;4.3,2, Q2&lt;4.5,3, Q2&lt;4.7,4, TRUE,5)</f>
        <v/>
      </c>
      <c r="S2" s="188" t="str">
        <f t="shared" ref="S2:S6" si="12">IF(R2="","",R2*21/100)</f>
        <v/>
      </c>
      <c r="T2" s="192" t="str">
        <f>'Weekly Tables'!K12</f>
        <v>NA</v>
      </c>
      <c r="U2" s="183" t="str">
        <f t="shared" ref="U2:U6" si="13">IFS(T2="", "", T2="NA","" ,T2&lt;3.8,0, T2&lt;4,1, T2&lt;4.3,2, T2&lt;4.5,3, T2&lt;4.7,4, TRUE,5)</f>
        <v/>
      </c>
      <c r="V2" s="183" t="str">
        <f t="shared" ref="V2:V6" si="14">IF(U2="","",U2*7.5/100)</f>
        <v/>
      </c>
      <c r="W2" s="193">
        <f>'Weekly Tables'!N20</f>
        <v>0.0443</v>
      </c>
      <c r="X2" s="180">
        <f t="shared" ref="X2:X6" si="15">IFS(W2="", "", W2&gt;6%,0, W2&gt;4%,1, W2&gt;2%,2, W2&gt;1.5%,3, W2&gt;1%,4, TRUE,5)</f>
        <v>1</v>
      </c>
      <c r="Y2" s="188">
        <f t="shared" ref="Y2:Y6" si="16">IF(X2="","",X2*10/100)</f>
        <v>0.1</v>
      </c>
      <c r="Z2" s="194">
        <f t="array" ref="Z2">XLOOKUP(A2,'Weekly Tables'!$B$30:$B$34,'Weekly Tables'!$H$30:$H$34)</f>
        <v>1.52</v>
      </c>
      <c r="AA2" s="195">
        <f t="shared" ref="AA2:AA6" si="17">IFS(Z2="","", VALUE(Z2)&gt;8,0, VALUE(Z2)&gt;5,1, VALUE(Z2)&gt;2,2, VALUE(Z2)&gt;1.5,3, VALUE(Z2)&gt;1,4, TRUE,5)</f>
        <v>3</v>
      </c>
      <c r="AB2" s="195">
        <f t="shared" ref="AB2:AB6" si="18">IF(AA2="","",AA2*7.5/100)</f>
        <v>0.225</v>
      </c>
      <c r="AC2" s="196">
        <f>'Weekly Tables'!E20</f>
        <v>4.5</v>
      </c>
      <c r="AD2" s="180">
        <f t="shared" ref="AD2:AD6" si="19">IFS(AC2="", "", AC2&lt;3.8,0, AC2&lt;4,1, AC2&lt;4.3,2, AC2&lt;4.5,3, AC2&lt;4.7,4, TRUE,5)</f>
        <v>4</v>
      </c>
      <c r="AE2" s="180">
        <f t="shared" ref="AE2:AE6" si="20">IF(AD2="","",AD2*7.5/100)</f>
        <v>0.3</v>
      </c>
      <c r="AF2" s="197">
        <v>86.0</v>
      </c>
      <c r="AG2" s="195">
        <f t="shared" ref="AG2:AG6" si="21">IFS(AF2="", "", AF2&lt;70,0, AF2&lt;75,1, AF2&lt;83,2, AF2&lt;89,3, AF2&lt;94,4, TRUE,5)</f>
        <v>3</v>
      </c>
      <c r="AH2" s="195">
        <f t="shared" ref="AH2:AH6" si="22">IF(AG2="","",AG2*12.5/100)</f>
        <v>0.375</v>
      </c>
      <c r="AI2" s="198">
        <v>90.0</v>
      </c>
      <c r="AJ2" s="180">
        <f t="shared" ref="AJ2:AJ6" si="23">IFS(AI2="", "", AI2&lt;70,0, AI2&lt;75,1, AI2&lt;83,2, AI2&lt;89,3, AI2&lt;94,4, TRUE,5)</f>
        <v>4</v>
      </c>
      <c r="AK2" s="188">
        <f t="shared" ref="AK2:AK6" si="24">IF(AJ2="","",AJ2*6.25/100)</f>
        <v>0.25</v>
      </c>
      <c r="AL2" s="199">
        <v>95.0</v>
      </c>
      <c r="AM2" s="183">
        <f t="shared" ref="AM2:AM6" si="25">IFS(AL2="", "", AL2&lt;70,0, AL2&lt;75,1, AL2&lt;83,2, AL2&lt;89,3, AL2&lt;94,4, TRUE,5)</f>
        <v>5</v>
      </c>
      <c r="AN2" s="190">
        <f t="shared" ref="AN2:AN6" si="26">IF(AM2="","",AM2*6.25/100)</f>
        <v>0.3125</v>
      </c>
      <c r="AO2" s="200">
        <v>85.0</v>
      </c>
      <c r="AP2" s="201">
        <f t="shared" ref="AP2:AP6" si="27">SUM(D2,G2,J2,M2,P2,S2,V2,Y2,AB2,AE2,AH2,AK2,AN2)</f>
        <v>2.6125</v>
      </c>
      <c r="AQ2" s="177"/>
      <c r="AR2" s="202"/>
      <c r="AS2" s="177"/>
      <c r="AT2" s="203"/>
      <c r="AU2" s="203"/>
    </row>
    <row r="3">
      <c r="A3" s="178" t="s">
        <v>118</v>
      </c>
      <c r="B3" s="204">
        <f>100%+'Weekly Tables'!I4</f>
        <v>0.8022075244</v>
      </c>
      <c r="C3" s="205">
        <f t="shared" si="1"/>
        <v>0</v>
      </c>
      <c r="D3" s="206">
        <f t="shared" si="2"/>
        <v>0</v>
      </c>
      <c r="E3" s="207">
        <f>100%+'Weekly Tables'!F4</f>
        <v>0.991307091</v>
      </c>
      <c r="F3" s="208">
        <f t="shared" si="3"/>
        <v>3</v>
      </c>
      <c r="G3" s="209">
        <f t="shared" si="4"/>
        <v>0.15</v>
      </c>
      <c r="H3" s="185"/>
      <c r="I3" s="186" t="str">
        <f t="shared" si="5"/>
        <v/>
      </c>
      <c r="J3" s="186" t="str">
        <f t="shared" si="6"/>
        <v/>
      </c>
      <c r="K3" s="210">
        <f>'Weekly Tables'!L4*100</f>
        <v>5</v>
      </c>
      <c r="L3" s="205">
        <f t="shared" si="7"/>
        <v>0</v>
      </c>
      <c r="M3" s="188">
        <f t="shared" si="8"/>
        <v>0</v>
      </c>
      <c r="N3" s="211">
        <f>'Weekly Tables'!O4*100</f>
        <v>3.7</v>
      </c>
      <c r="O3" s="208">
        <f t="shared" si="9"/>
        <v>0</v>
      </c>
      <c r="P3" s="190">
        <f t="shared" si="10"/>
        <v>0</v>
      </c>
      <c r="Q3" s="212">
        <f>'Weekly Tables'!M15</f>
        <v>5</v>
      </c>
      <c r="R3" s="205">
        <f t="shared" si="11"/>
        <v>5</v>
      </c>
      <c r="S3" s="188">
        <f t="shared" si="12"/>
        <v>1.05</v>
      </c>
      <c r="T3" s="213" t="str">
        <f>'Weekly Tables'!K15</f>
        <v>NA</v>
      </c>
      <c r="U3" s="208" t="str">
        <f t="shared" si="13"/>
        <v/>
      </c>
      <c r="V3" s="208" t="str">
        <f t="shared" si="14"/>
        <v/>
      </c>
      <c r="W3" s="214">
        <f>'Weekly Tables'!N23</f>
        <v>0.0122</v>
      </c>
      <c r="X3" s="205">
        <f t="shared" si="15"/>
        <v>4</v>
      </c>
      <c r="Y3" s="215">
        <f t="shared" si="16"/>
        <v>0.4</v>
      </c>
      <c r="Z3" s="216">
        <f t="array" ref="Z3">XLOOKUP(A3,'Weekly Tables'!$B$30:$B$34,'Weekly Tables'!$H$30:$H$34)</f>
        <v>1.45</v>
      </c>
      <c r="AA3" s="186">
        <f t="shared" si="17"/>
        <v>4</v>
      </c>
      <c r="AB3" s="186">
        <f t="shared" si="18"/>
        <v>0.3</v>
      </c>
      <c r="AC3" s="217">
        <f>'Weekly Tables'!E23</f>
        <v>4.1</v>
      </c>
      <c r="AD3" s="205">
        <f t="shared" si="19"/>
        <v>2</v>
      </c>
      <c r="AE3" s="205">
        <f t="shared" si="20"/>
        <v>0.15</v>
      </c>
      <c r="AF3" s="218">
        <v>67.0</v>
      </c>
      <c r="AG3" s="186">
        <f t="shared" si="21"/>
        <v>0</v>
      </c>
      <c r="AH3" s="186">
        <f t="shared" si="22"/>
        <v>0</v>
      </c>
      <c r="AI3" s="219">
        <v>70.0</v>
      </c>
      <c r="AJ3" s="205">
        <f t="shared" si="23"/>
        <v>1</v>
      </c>
      <c r="AK3" s="215">
        <f t="shared" si="24"/>
        <v>0.0625</v>
      </c>
      <c r="AL3" s="220">
        <v>76.0</v>
      </c>
      <c r="AM3" s="208">
        <f t="shared" si="25"/>
        <v>2</v>
      </c>
      <c r="AN3" s="221">
        <f t="shared" si="26"/>
        <v>0.125</v>
      </c>
      <c r="AO3" s="222">
        <v>87.0</v>
      </c>
      <c r="AP3" s="201">
        <f t="shared" si="27"/>
        <v>2.2375</v>
      </c>
      <c r="AQ3" s="177"/>
      <c r="AR3" s="202"/>
      <c r="AS3" s="177"/>
      <c r="AT3" s="203"/>
      <c r="AU3" s="203"/>
    </row>
    <row r="4">
      <c r="A4" s="178" t="s">
        <v>119</v>
      </c>
      <c r="B4" s="204">
        <f>100%+'Weekly Tables'!I5</f>
        <v>0.7159853453</v>
      </c>
      <c r="C4" s="205">
        <f t="shared" si="1"/>
        <v>0</v>
      </c>
      <c r="D4" s="206">
        <f t="shared" si="2"/>
        <v>0</v>
      </c>
      <c r="E4" s="207">
        <f>100%+'Weekly Tables'!F5</f>
        <v>0.8586523126</v>
      </c>
      <c r="F4" s="208">
        <f t="shared" si="3"/>
        <v>0</v>
      </c>
      <c r="G4" s="209">
        <f t="shared" si="4"/>
        <v>0</v>
      </c>
      <c r="H4" s="185"/>
      <c r="I4" s="186" t="str">
        <f t="shared" si="5"/>
        <v/>
      </c>
      <c r="J4" s="186" t="str">
        <f t="shared" si="6"/>
        <v/>
      </c>
      <c r="K4" s="210">
        <f>'Weekly Tables'!L5*100</f>
        <v>-0.2</v>
      </c>
      <c r="L4" s="205">
        <f t="shared" si="7"/>
        <v>3</v>
      </c>
      <c r="M4" s="188">
        <f t="shared" si="8"/>
        <v>0.45</v>
      </c>
      <c r="N4" s="211">
        <f>'Weekly Tables'!O5*100</f>
        <v>3.2</v>
      </c>
      <c r="O4" s="208">
        <f t="shared" si="9"/>
        <v>0</v>
      </c>
      <c r="P4" s="190">
        <f t="shared" si="10"/>
        <v>0</v>
      </c>
      <c r="Q4" s="212">
        <f>'Weekly Tables'!M13</f>
        <v>5</v>
      </c>
      <c r="R4" s="205">
        <f t="shared" si="11"/>
        <v>5</v>
      </c>
      <c r="S4" s="188">
        <f t="shared" si="12"/>
        <v>1.05</v>
      </c>
      <c r="T4" s="213" t="str">
        <f>'Weekly Tables'!K13</f>
        <v>NA</v>
      </c>
      <c r="U4" s="208" t="str">
        <f t="shared" si="13"/>
        <v/>
      </c>
      <c r="V4" s="208" t="str">
        <f t="shared" si="14"/>
        <v/>
      </c>
      <c r="W4" s="214">
        <f>'Weekly Tables'!N21</f>
        <v>0.0412</v>
      </c>
      <c r="X4" s="205">
        <f t="shared" si="15"/>
        <v>1</v>
      </c>
      <c r="Y4" s="215">
        <f t="shared" si="16"/>
        <v>0.1</v>
      </c>
      <c r="Z4" s="216">
        <f t="array" ref="Z4">XLOOKUP(A4,'Weekly Tables'!$B$30:$B$34,'Weekly Tables'!$H$30:$H$34)</f>
        <v>1.2</v>
      </c>
      <c r="AA4" s="186">
        <f t="shared" si="17"/>
        <v>4</v>
      </c>
      <c r="AB4" s="186">
        <f t="shared" si="18"/>
        <v>0.3</v>
      </c>
      <c r="AC4" s="217">
        <f>'Weekly Tables'!E21</f>
        <v>4.5</v>
      </c>
      <c r="AD4" s="205">
        <f t="shared" si="19"/>
        <v>4</v>
      </c>
      <c r="AE4" s="205">
        <f t="shared" si="20"/>
        <v>0.3</v>
      </c>
      <c r="AF4" s="218">
        <v>72.0</v>
      </c>
      <c r="AG4" s="186">
        <f t="shared" si="21"/>
        <v>1</v>
      </c>
      <c r="AH4" s="186">
        <f t="shared" si="22"/>
        <v>0.125</v>
      </c>
      <c r="AI4" s="219">
        <v>76.0</v>
      </c>
      <c r="AJ4" s="205">
        <f t="shared" si="23"/>
        <v>2</v>
      </c>
      <c r="AK4" s="215">
        <f t="shared" si="24"/>
        <v>0.125</v>
      </c>
      <c r="AL4" s="220">
        <v>78.0</v>
      </c>
      <c r="AM4" s="208">
        <f t="shared" si="25"/>
        <v>2</v>
      </c>
      <c r="AN4" s="221">
        <f t="shared" si="26"/>
        <v>0.125</v>
      </c>
      <c r="AO4" s="222">
        <v>93.0</v>
      </c>
      <c r="AP4" s="201">
        <f t="shared" si="27"/>
        <v>2.575</v>
      </c>
      <c r="AQ4" s="177"/>
      <c r="AR4" s="202"/>
      <c r="AS4" s="177"/>
      <c r="AT4" s="203"/>
      <c r="AU4" s="203"/>
    </row>
    <row r="5">
      <c r="A5" s="178" t="s">
        <v>120</v>
      </c>
      <c r="B5" s="204">
        <f>100%+'Weekly Tables'!I6</f>
        <v>1.127917327</v>
      </c>
      <c r="C5" s="205">
        <f t="shared" si="1"/>
        <v>5</v>
      </c>
      <c r="D5" s="206">
        <f t="shared" si="2"/>
        <v>0.25</v>
      </c>
      <c r="E5" s="207">
        <f>100%+'Weekly Tables'!F6</f>
        <v>1.088530113</v>
      </c>
      <c r="F5" s="208">
        <f t="shared" si="3"/>
        <v>5</v>
      </c>
      <c r="G5" s="209">
        <f t="shared" si="4"/>
        <v>0.25</v>
      </c>
      <c r="H5" s="185"/>
      <c r="I5" s="186" t="str">
        <f t="shared" si="5"/>
        <v/>
      </c>
      <c r="J5" s="186" t="str">
        <f t="shared" si="6"/>
        <v/>
      </c>
      <c r="K5" s="210">
        <f>'Weekly Tables'!L6*100</f>
        <v>-4</v>
      </c>
      <c r="L5" s="205">
        <f t="shared" si="7"/>
        <v>5</v>
      </c>
      <c r="M5" s="188">
        <f t="shared" si="8"/>
        <v>0.75</v>
      </c>
      <c r="N5" s="211">
        <f>'Weekly Tables'!O6*100</f>
        <v>2.2</v>
      </c>
      <c r="O5" s="208">
        <f t="shared" si="9"/>
        <v>1</v>
      </c>
      <c r="P5" s="190">
        <f t="shared" si="10"/>
        <v>0.15</v>
      </c>
      <c r="Q5" s="212">
        <f>'Weekly Tables'!M14</f>
        <v>5</v>
      </c>
      <c r="R5" s="205">
        <f t="shared" si="11"/>
        <v>5</v>
      </c>
      <c r="S5" s="188">
        <f t="shared" si="12"/>
        <v>1.05</v>
      </c>
      <c r="T5" s="213" t="str">
        <f>'Weekly Tables'!K14</f>
        <v>NA</v>
      </c>
      <c r="U5" s="208" t="str">
        <f t="shared" si="13"/>
        <v/>
      </c>
      <c r="V5" s="208" t="str">
        <f t="shared" si="14"/>
        <v/>
      </c>
      <c r="W5" s="214">
        <f>'Weekly Tables'!N22</f>
        <v>0.0114</v>
      </c>
      <c r="X5" s="205">
        <f t="shared" si="15"/>
        <v>4</v>
      </c>
      <c r="Y5" s="215">
        <f t="shared" si="16"/>
        <v>0.4</v>
      </c>
      <c r="Z5" s="216">
        <f t="array" ref="Z5">XLOOKUP(A5,'Weekly Tables'!$B$30:$B$34,'Weekly Tables'!$H$30:$H$34)</f>
        <v>1.13</v>
      </c>
      <c r="AA5" s="186">
        <f t="shared" si="17"/>
        <v>4</v>
      </c>
      <c r="AB5" s="186">
        <f t="shared" si="18"/>
        <v>0.3</v>
      </c>
      <c r="AC5" s="217">
        <f>'Weekly Tables'!E22</f>
        <v>4.4</v>
      </c>
      <c r="AD5" s="205">
        <f t="shared" si="19"/>
        <v>3</v>
      </c>
      <c r="AE5" s="205">
        <f t="shared" si="20"/>
        <v>0.225</v>
      </c>
      <c r="AF5" s="218">
        <v>70.0</v>
      </c>
      <c r="AG5" s="186">
        <f t="shared" si="21"/>
        <v>1</v>
      </c>
      <c r="AH5" s="186">
        <f t="shared" si="22"/>
        <v>0.125</v>
      </c>
      <c r="AI5" s="219">
        <v>75.0</v>
      </c>
      <c r="AJ5" s="205">
        <f t="shared" si="23"/>
        <v>2</v>
      </c>
      <c r="AK5" s="215">
        <f t="shared" si="24"/>
        <v>0.125</v>
      </c>
      <c r="AL5" s="220">
        <v>71.0</v>
      </c>
      <c r="AM5" s="208">
        <f t="shared" si="25"/>
        <v>1</v>
      </c>
      <c r="AN5" s="221">
        <f t="shared" si="26"/>
        <v>0.0625</v>
      </c>
      <c r="AO5" s="222">
        <v>80.0</v>
      </c>
      <c r="AP5" s="201">
        <f t="shared" si="27"/>
        <v>3.6875</v>
      </c>
      <c r="AQ5" s="177"/>
      <c r="AR5" s="202"/>
      <c r="AS5" s="177"/>
      <c r="AT5" s="203"/>
      <c r="AU5" s="203"/>
    </row>
    <row r="6">
      <c r="A6" s="178" t="s">
        <v>121</v>
      </c>
      <c r="B6" s="223">
        <f>100%+'Weekly Tables'!I7</f>
        <v>0.8999248072</v>
      </c>
      <c r="C6" s="224">
        <f t="shared" si="1"/>
        <v>0</v>
      </c>
      <c r="D6" s="225">
        <f t="shared" si="2"/>
        <v>0</v>
      </c>
      <c r="E6" s="226">
        <f>100%+'Weekly Tables'!F7</f>
        <v>0.8220935645</v>
      </c>
      <c r="F6" s="227">
        <f t="shared" si="3"/>
        <v>0</v>
      </c>
      <c r="G6" s="228">
        <f t="shared" si="4"/>
        <v>0</v>
      </c>
      <c r="H6" s="185"/>
      <c r="I6" s="186" t="str">
        <f t="shared" si="5"/>
        <v/>
      </c>
      <c r="J6" s="186" t="str">
        <f t="shared" si="6"/>
        <v/>
      </c>
      <c r="K6" s="229">
        <f>'Weekly Tables'!L7*100</f>
        <v>-1.6</v>
      </c>
      <c r="L6" s="224">
        <f t="shared" si="7"/>
        <v>5</v>
      </c>
      <c r="M6" s="188">
        <f t="shared" si="8"/>
        <v>0.75</v>
      </c>
      <c r="N6" s="230">
        <f>'Weekly Tables'!O7*100</f>
        <v>-1.5</v>
      </c>
      <c r="O6" s="227">
        <f t="shared" si="9"/>
        <v>5</v>
      </c>
      <c r="P6" s="190">
        <f t="shared" si="10"/>
        <v>0.75</v>
      </c>
      <c r="Q6" s="231">
        <f>'Weekly Tables'!M16</f>
        <v>5</v>
      </c>
      <c r="R6" s="224">
        <f t="shared" si="11"/>
        <v>5</v>
      </c>
      <c r="S6" s="188">
        <f t="shared" si="12"/>
        <v>1.05</v>
      </c>
      <c r="T6" s="232">
        <f>'Weekly Tables'!K16</f>
        <v>3</v>
      </c>
      <c r="U6" s="227">
        <f t="shared" si="13"/>
        <v>0</v>
      </c>
      <c r="V6" s="227">
        <f t="shared" si="14"/>
        <v>0</v>
      </c>
      <c r="W6" s="233">
        <f>'Weekly Tables'!N24</f>
        <v>0.046</v>
      </c>
      <c r="X6" s="224">
        <f t="shared" si="15"/>
        <v>1</v>
      </c>
      <c r="Y6" s="234">
        <f t="shared" si="16"/>
        <v>0.1</v>
      </c>
      <c r="Z6" s="235">
        <f t="array" ref="Z6">XLOOKUP(A6,'Weekly Tables'!$B$30:$B$34,'Weekly Tables'!$H$30:$H$34)</f>
        <v>1.68</v>
      </c>
      <c r="AA6" s="236">
        <f t="shared" si="17"/>
        <v>3</v>
      </c>
      <c r="AB6" s="236">
        <f t="shared" si="18"/>
        <v>0.225</v>
      </c>
      <c r="AC6" s="237">
        <f>'Weekly Tables'!E24</f>
        <v>4.1</v>
      </c>
      <c r="AD6" s="224">
        <f t="shared" si="19"/>
        <v>2</v>
      </c>
      <c r="AE6" s="224">
        <f t="shared" si="20"/>
        <v>0.15</v>
      </c>
      <c r="AF6" s="238">
        <v>56.0</v>
      </c>
      <c r="AG6" s="236">
        <f t="shared" si="21"/>
        <v>0</v>
      </c>
      <c r="AH6" s="236">
        <f t="shared" si="22"/>
        <v>0</v>
      </c>
      <c r="AI6" s="239">
        <v>60.0</v>
      </c>
      <c r="AJ6" s="224">
        <f t="shared" si="23"/>
        <v>0</v>
      </c>
      <c r="AK6" s="234">
        <f t="shared" si="24"/>
        <v>0</v>
      </c>
      <c r="AL6" s="240">
        <v>60.0</v>
      </c>
      <c r="AM6" s="227">
        <f t="shared" si="25"/>
        <v>0</v>
      </c>
      <c r="AN6" s="241">
        <f t="shared" si="26"/>
        <v>0</v>
      </c>
      <c r="AO6" s="242">
        <v>78.0</v>
      </c>
      <c r="AP6" s="201">
        <f t="shared" si="27"/>
        <v>3.025</v>
      </c>
      <c r="AQ6" s="177"/>
      <c r="AR6" s="202"/>
      <c r="AS6" s="177"/>
      <c r="AT6" s="203"/>
      <c r="AU6" s="203"/>
    </row>
    <row r="7">
      <c r="D7" s="243"/>
      <c r="G7" s="243"/>
      <c r="K7" s="244"/>
      <c r="N7" s="244"/>
      <c r="T7" s="245"/>
      <c r="Z7" s="246"/>
    </row>
    <row r="8">
      <c r="B8" s="247"/>
      <c r="C8" s="177">
        <f t="shared" ref="C8:C12" si="28">IF(B2="","",ROUND(IF(B2&gt;=105%,5,IF(B2&gt;=102%,4+(B2-102%)/(105%-102%),IF(B2&gt;=99%,3+(B2-99%)/(102%-99%),IF(B2&gt;=95%,2+(B2-95%)/(99%-95%),IF(B2&gt;=90%,1+(B2-90%)/(95%-90%),0))))),1))</f>
        <v>1.2</v>
      </c>
      <c r="D8" s="243"/>
      <c r="F8" s="177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243"/>
      <c r="K8" s="244"/>
      <c r="N8" s="244"/>
      <c r="T8" s="245"/>
      <c r="Z8" s="246"/>
    </row>
    <row r="9">
      <c r="C9" s="177">
        <f t="shared" si="28"/>
        <v>0</v>
      </c>
      <c r="D9" s="243"/>
      <c r="F9" s="177">
        <f t="shared" si="29"/>
        <v>3</v>
      </c>
      <c r="G9" s="243"/>
      <c r="K9" s="244"/>
      <c r="N9" s="244"/>
      <c r="T9" s="245"/>
      <c r="Z9" s="246"/>
    </row>
    <row r="10">
      <c r="C10" s="177">
        <f t="shared" si="28"/>
        <v>0</v>
      </c>
      <c r="D10" s="243"/>
      <c r="F10" s="177">
        <f t="shared" si="29"/>
        <v>0</v>
      </c>
      <c r="G10" s="243"/>
      <c r="K10" s="244"/>
      <c r="N10" s="244"/>
      <c r="T10" s="245"/>
      <c r="Z10" s="246"/>
    </row>
    <row r="11">
      <c r="C11" s="177">
        <f t="shared" si="28"/>
        <v>5</v>
      </c>
      <c r="D11" s="243"/>
      <c r="F11" s="177">
        <f t="shared" si="29"/>
        <v>5</v>
      </c>
      <c r="G11" s="243"/>
      <c r="K11" s="244"/>
      <c r="N11" s="244"/>
      <c r="T11" s="245"/>
      <c r="Z11" s="246"/>
    </row>
    <row r="12">
      <c r="C12" s="177">
        <f t="shared" si="28"/>
        <v>0</v>
      </c>
      <c r="D12" s="243"/>
      <c r="F12" s="177">
        <f t="shared" si="29"/>
        <v>0</v>
      </c>
      <c r="G12" s="243"/>
      <c r="K12" s="244"/>
      <c r="N12" s="244"/>
      <c r="T12" s="245"/>
      <c r="Z12" s="246"/>
    </row>
    <row r="13">
      <c r="D13" s="243"/>
      <c r="G13" s="243"/>
      <c r="K13" s="244"/>
      <c r="N13" s="244"/>
      <c r="T13" s="245"/>
      <c r="Z13" s="246"/>
    </row>
    <row r="14"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>
      <c r="A15" s="177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</row>
    <row r="16">
      <c r="B16" s="177"/>
      <c r="C16" s="243"/>
      <c r="D16" s="177"/>
      <c r="E16" s="177"/>
      <c r="F16" s="243"/>
      <c r="G16" s="177"/>
      <c r="H16" s="177"/>
      <c r="I16" s="177"/>
      <c r="J16" s="244"/>
      <c r="K16" s="177"/>
      <c r="L16" s="177"/>
      <c r="M16" s="244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246"/>
      <c r="Z16" s="177"/>
      <c r="AA16" s="177"/>
      <c r="AB16" s="177"/>
      <c r="AC16" s="177"/>
      <c r="AD16" s="177"/>
      <c r="AE16" s="177"/>
    </row>
    <row r="17">
      <c r="A17" s="177"/>
      <c r="C17" s="243"/>
      <c r="F17" s="243"/>
      <c r="J17" s="244"/>
      <c r="M17" s="244"/>
      <c r="Y17" s="246"/>
      <c r="AE17" s="177"/>
      <c r="AF17" s="177"/>
    </row>
    <row r="18">
      <c r="A18" s="177"/>
      <c r="C18" s="243"/>
      <c r="F18" s="243"/>
      <c r="J18" s="244"/>
      <c r="M18" s="244"/>
      <c r="Y18" s="246"/>
      <c r="AE18" s="177"/>
      <c r="AF18" s="177"/>
    </row>
    <row r="19">
      <c r="A19" s="177"/>
      <c r="C19" s="243"/>
      <c r="F19" s="243"/>
      <c r="J19" s="244"/>
      <c r="M19" s="244"/>
      <c r="Y19" s="246"/>
      <c r="AE19" s="177"/>
      <c r="AF19" s="177"/>
    </row>
    <row r="20">
      <c r="A20" s="177"/>
      <c r="C20" s="243"/>
      <c r="F20" s="243"/>
      <c r="J20" s="244"/>
      <c r="M20" s="244"/>
      <c r="Y20" s="246"/>
      <c r="AE20" s="177"/>
      <c r="AF20" s="177"/>
    </row>
    <row r="21" ht="15.75" customHeight="1">
      <c r="A21" s="177"/>
      <c r="C21" s="243"/>
      <c r="F21" s="243"/>
      <c r="J21" s="244"/>
      <c r="M21" s="244"/>
      <c r="Y21" s="246"/>
      <c r="AE21" s="177"/>
      <c r="AF21" s="177"/>
    </row>
    <row r="22" ht="15.75" customHeight="1">
      <c r="A22" s="177"/>
      <c r="C22" s="202"/>
      <c r="F22" s="202"/>
      <c r="I22" s="202"/>
      <c r="J22" s="244"/>
      <c r="L22" s="202"/>
      <c r="M22" s="244"/>
      <c r="O22" s="202"/>
      <c r="R22" s="202"/>
      <c r="U22" s="202"/>
      <c r="X22" s="202"/>
      <c r="Y22" s="246"/>
      <c r="AA22" s="202"/>
      <c r="AD22" s="177"/>
      <c r="AF22" s="202"/>
    </row>
    <row r="23" ht="15.75" customHeight="1">
      <c r="B23" s="248"/>
      <c r="C23" s="248"/>
      <c r="D23" s="249"/>
      <c r="E23" s="248"/>
      <c r="F23" s="248"/>
      <c r="G23" s="249"/>
      <c r="H23" s="248"/>
      <c r="I23" s="248"/>
      <c r="J23" s="248"/>
      <c r="K23" s="250"/>
      <c r="L23" s="248"/>
      <c r="M23" s="248"/>
      <c r="N23" s="250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51"/>
      <c r="AA23" s="248"/>
      <c r="AB23" s="248"/>
      <c r="AC23" s="248"/>
      <c r="AD23" s="248"/>
      <c r="AE23" s="248"/>
      <c r="AF23" s="248"/>
      <c r="AG23" s="248"/>
    </row>
    <row r="24" ht="15.75" customHeight="1">
      <c r="D24" s="243"/>
      <c r="G24" s="243"/>
      <c r="K24" s="244"/>
      <c r="N24" s="244"/>
      <c r="T24" s="245"/>
      <c r="Z24" s="246"/>
    </row>
    <row r="25" ht="15.75" customHeight="1">
      <c r="D25" s="243"/>
      <c r="G25" s="243"/>
      <c r="K25" s="244"/>
      <c r="N25" s="244"/>
      <c r="T25" s="245"/>
      <c r="Z25" s="246"/>
    </row>
    <row r="26" ht="15.75" customHeight="1">
      <c r="D26" s="243"/>
      <c r="G26" s="243"/>
      <c r="K26" s="244"/>
      <c r="N26" s="244"/>
      <c r="T26" s="245"/>
      <c r="Z26" s="246"/>
    </row>
    <row r="27" ht="15.75" customHeight="1">
      <c r="D27" s="243"/>
      <c r="G27" s="243"/>
      <c r="K27" s="244"/>
      <c r="N27" s="244"/>
      <c r="T27" s="245"/>
      <c r="Z27" s="246"/>
    </row>
    <row r="28" ht="15.75" customHeight="1">
      <c r="D28" s="243"/>
      <c r="G28" s="243"/>
      <c r="K28" s="244"/>
      <c r="N28" s="244"/>
      <c r="T28" s="245"/>
      <c r="Z28" s="246"/>
    </row>
    <row r="29" ht="15.75" customHeight="1">
      <c r="D29" s="243"/>
      <c r="G29" s="243"/>
      <c r="K29" s="244"/>
      <c r="N29" s="244"/>
      <c r="T29" s="245"/>
      <c r="Z29" s="246"/>
    </row>
    <row r="30" ht="15.75" customHeight="1">
      <c r="D30" s="243"/>
      <c r="G30" s="243"/>
      <c r="K30" s="244"/>
      <c r="N30" s="244"/>
      <c r="T30" s="245"/>
      <c r="Z30" s="246"/>
    </row>
    <row r="31" ht="15.75" customHeight="1">
      <c r="D31" s="243"/>
      <c r="G31" s="243"/>
      <c r="K31" s="244"/>
      <c r="N31" s="244"/>
      <c r="T31" s="245"/>
      <c r="Z31" s="246"/>
    </row>
    <row r="32" ht="15.75" customHeight="1">
      <c r="D32" s="243"/>
      <c r="G32" s="243"/>
      <c r="K32" s="244"/>
      <c r="N32" s="244"/>
      <c r="T32" s="245"/>
      <c r="Z32" s="246"/>
    </row>
    <row r="33" ht="15.75" customHeight="1">
      <c r="D33" s="243"/>
      <c r="G33" s="243"/>
      <c r="K33" s="244"/>
      <c r="N33" s="244"/>
      <c r="T33" s="245"/>
      <c r="Z33" s="246"/>
    </row>
    <row r="34" ht="15.75" customHeight="1">
      <c r="D34" s="243"/>
      <c r="G34" s="243"/>
      <c r="K34" s="244"/>
      <c r="N34" s="244"/>
      <c r="T34" s="245"/>
      <c r="Z34" s="246"/>
    </row>
    <row r="35" ht="15.75" customHeight="1">
      <c r="D35" s="243"/>
      <c r="G35" s="243"/>
      <c r="K35" s="244"/>
      <c r="N35" s="244"/>
      <c r="T35" s="245"/>
      <c r="Z35" s="246"/>
    </row>
    <row r="36" ht="15.75" customHeight="1">
      <c r="D36" s="243"/>
      <c r="G36" s="243"/>
      <c r="K36" s="244"/>
      <c r="N36" s="244"/>
      <c r="T36" s="245"/>
      <c r="Z36" s="246"/>
    </row>
    <row r="37" ht="15.75" customHeight="1">
      <c r="D37" s="243"/>
      <c r="G37" s="243"/>
      <c r="K37" s="244"/>
      <c r="N37" s="244"/>
      <c r="T37" s="245"/>
      <c r="Z37" s="246"/>
    </row>
    <row r="38" ht="15.75" customHeight="1">
      <c r="D38" s="243"/>
      <c r="G38" s="243"/>
      <c r="K38" s="244"/>
      <c r="N38" s="244"/>
      <c r="T38" s="245"/>
      <c r="Z38" s="246"/>
    </row>
    <row r="39" ht="15.75" customHeight="1">
      <c r="D39" s="243"/>
      <c r="G39" s="243"/>
      <c r="K39" s="244"/>
      <c r="N39" s="244"/>
      <c r="T39" s="245"/>
      <c r="Z39" s="246"/>
    </row>
    <row r="40" ht="15.75" customHeight="1">
      <c r="D40" s="243"/>
      <c r="G40" s="243"/>
      <c r="K40" s="244"/>
      <c r="N40" s="244"/>
      <c r="T40" s="245"/>
      <c r="Z40" s="246"/>
    </row>
    <row r="41" ht="15.75" customHeight="1">
      <c r="D41" s="243"/>
      <c r="G41" s="243"/>
      <c r="K41" s="244"/>
      <c r="N41" s="244"/>
      <c r="T41" s="245"/>
      <c r="Z41" s="246"/>
    </row>
    <row r="42" ht="15.75" customHeight="1">
      <c r="D42" s="243"/>
      <c r="G42" s="243"/>
      <c r="K42" s="244"/>
      <c r="N42" s="244"/>
      <c r="T42" s="245"/>
      <c r="Z42" s="246"/>
    </row>
    <row r="43" ht="15.75" customHeight="1">
      <c r="D43" s="243"/>
      <c r="G43" s="243"/>
      <c r="K43" s="244"/>
      <c r="N43" s="244"/>
      <c r="T43" s="245"/>
      <c r="Z43" s="246"/>
    </row>
    <row r="44" ht="15.75" customHeight="1">
      <c r="D44" s="243"/>
      <c r="G44" s="243"/>
      <c r="K44" s="244"/>
      <c r="N44" s="244"/>
      <c r="T44" s="245"/>
      <c r="Z44" s="246"/>
    </row>
    <row r="45" ht="15.75" customHeight="1">
      <c r="D45" s="243"/>
      <c r="G45" s="243"/>
      <c r="K45" s="244"/>
      <c r="N45" s="244"/>
      <c r="T45" s="245"/>
      <c r="Z45" s="246"/>
    </row>
    <row r="46" ht="15.75" customHeight="1">
      <c r="D46" s="243"/>
      <c r="G46" s="243"/>
      <c r="K46" s="244"/>
      <c r="N46" s="244"/>
      <c r="T46" s="245"/>
      <c r="Z46" s="246"/>
    </row>
    <row r="47" ht="15.75" customHeight="1">
      <c r="D47" s="243"/>
      <c r="G47" s="243"/>
      <c r="K47" s="244"/>
      <c r="N47" s="244"/>
      <c r="T47" s="245"/>
      <c r="Z47" s="246"/>
    </row>
    <row r="48" ht="15.75" customHeight="1">
      <c r="D48" s="243"/>
      <c r="G48" s="243"/>
      <c r="K48" s="244"/>
      <c r="N48" s="244"/>
      <c r="T48" s="245"/>
      <c r="Z48" s="246"/>
    </row>
    <row r="49" ht="15.75" customHeight="1">
      <c r="D49" s="243"/>
      <c r="G49" s="243"/>
      <c r="K49" s="244"/>
      <c r="N49" s="244"/>
      <c r="T49" s="245"/>
      <c r="Z49" s="246"/>
    </row>
    <row r="50" ht="15.75" customHeight="1">
      <c r="D50" s="243"/>
      <c r="G50" s="243"/>
      <c r="K50" s="244"/>
      <c r="N50" s="244"/>
      <c r="T50" s="245"/>
      <c r="Z50" s="246"/>
    </row>
    <row r="51" ht="15.75" customHeight="1">
      <c r="D51" s="243"/>
      <c r="G51" s="243"/>
      <c r="K51" s="244"/>
      <c r="N51" s="244"/>
      <c r="T51" s="245"/>
      <c r="Z51" s="246"/>
    </row>
    <row r="52" ht="15.75" customHeight="1">
      <c r="D52" s="243"/>
      <c r="G52" s="243"/>
      <c r="K52" s="244"/>
      <c r="N52" s="244"/>
      <c r="T52" s="245"/>
      <c r="Z52" s="246"/>
    </row>
    <row r="53" ht="15.75" customHeight="1">
      <c r="D53" s="243"/>
      <c r="G53" s="243"/>
      <c r="K53" s="244"/>
      <c r="N53" s="244"/>
      <c r="T53" s="245"/>
      <c r="Z53" s="246"/>
    </row>
    <row r="54" ht="15.75" customHeight="1">
      <c r="D54" s="243"/>
      <c r="G54" s="243"/>
      <c r="K54" s="244"/>
      <c r="N54" s="244"/>
      <c r="T54" s="245"/>
      <c r="Z54" s="246"/>
    </row>
    <row r="55" ht="15.75" customHeight="1">
      <c r="D55" s="243"/>
      <c r="G55" s="243"/>
      <c r="K55" s="244"/>
      <c r="N55" s="244"/>
      <c r="T55" s="245"/>
      <c r="Z55" s="246"/>
    </row>
    <row r="56" ht="15.75" customHeight="1">
      <c r="D56" s="243"/>
      <c r="G56" s="243"/>
      <c r="K56" s="244"/>
      <c r="N56" s="244"/>
      <c r="T56" s="245"/>
      <c r="Z56" s="246"/>
    </row>
    <row r="57" ht="15.75" customHeight="1">
      <c r="D57" s="243"/>
      <c r="G57" s="243"/>
      <c r="K57" s="244"/>
      <c r="N57" s="244"/>
      <c r="T57" s="245"/>
      <c r="Z57" s="246"/>
    </row>
    <row r="58" ht="15.75" customHeight="1">
      <c r="D58" s="243"/>
      <c r="G58" s="243"/>
      <c r="K58" s="244"/>
      <c r="N58" s="244"/>
      <c r="T58" s="245"/>
      <c r="Z58" s="246"/>
    </row>
    <row r="59" ht="15.75" customHeight="1">
      <c r="D59" s="243"/>
      <c r="G59" s="243"/>
      <c r="K59" s="244"/>
      <c r="N59" s="244"/>
      <c r="T59" s="245"/>
      <c r="Z59" s="246"/>
    </row>
    <row r="60" ht="15.75" customHeight="1">
      <c r="D60" s="243"/>
      <c r="G60" s="243"/>
      <c r="K60" s="244"/>
      <c r="N60" s="244"/>
      <c r="T60" s="245"/>
      <c r="Z60" s="246"/>
    </row>
    <row r="61" ht="15.75" customHeight="1">
      <c r="D61" s="243"/>
      <c r="G61" s="243"/>
      <c r="K61" s="244"/>
      <c r="N61" s="244"/>
      <c r="T61" s="245"/>
      <c r="Z61" s="246"/>
    </row>
    <row r="62" ht="15.75" customHeight="1">
      <c r="D62" s="243"/>
      <c r="G62" s="243"/>
      <c r="K62" s="244"/>
      <c r="N62" s="244"/>
      <c r="T62" s="245"/>
      <c r="Z62" s="246"/>
    </row>
    <row r="63" ht="15.75" customHeight="1">
      <c r="D63" s="243"/>
      <c r="G63" s="243"/>
      <c r="K63" s="244"/>
      <c r="N63" s="244"/>
      <c r="T63" s="245"/>
      <c r="Z63" s="246"/>
    </row>
    <row r="64" ht="15.75" customHeight="1">
      <c r="D64" s="243"/>
      <c r="G64" s="243"/>
      <c r="K64" s="244"/>
      <c r="N64" s="244"/>
      <c r="T64" s="245"/>
      <c r="Z64" s="246"/>
    </row>
    <row r="65" ht="15.75" customHeight="1">
      <c r="D65" s="243"/>
      <c r="G65" s="243"/>
      <c r="K65" s="244"/>
      <c r="N65" s="244"/>
      <c r="T65" s="245"/>
      <c r="Z65" s="246"/>
    </row>
    <row r="66" ht="15.75" customHeight="1">
      <c r="D66" s="243"/>
      <c r="G66" s="243"/>
      <c r="K66" s="244"/>
      <c r="N66" s="244"/>
      <c r="T66" s="245"/>
      <c r="Z66" s="246"/>
    </row>
    <row r="67" ht="15.75" customHeight="1">
      <c r="D67" s="243"/>
      <c r="G67" s="243"/>
      <c r="K67" s="244"/>
      <c r="N67" s="244"/>
      <c r="T67" s="245"/>
      <c r="Z67" s="246"/>
    </row>
    <row r="68" ht="15.75" customHeight="1">
      <c r="D68" s="243"/>
      <c r="G68" s="243"/>
      <c r="K68" s="244"/>
      <c r="N68" s="244"/>
      <c r="T68" s="245"/>
      <c r="Z68" s="246"/>
    </row>
    <row r="69" ht="15.75" customHeight="1">
      <c r="D69" s="243"/>
      <c r="G69" s="243"/>
      <c r="K69" s="244"/>
      <c r="N69" s="244"/>
      <c r="T69" s="245"/>
      <c r="Z69" s="246"/>
    </row>
    <row r="70" ht="15.75" customHeight="1">
      <c r="D70" s="243"/>
      <c r="G70" s="243"/>
      <c r="K70" s="244"/>
      <c r="N70" s="244"/>
      <c r="T70" s="245"/>
      <c r="Z70" s="246"/>
    </row>
    <row r="71" ht="15.75" customHeight="1">
      <c r="D71" s="243"/>
      <c r="G71" s="243"/>
      <c r="K71" s="244"/>
      <c r="N71" s="244"/>
      <c r="T71" s="245"/>
      <c r="Z71" s="246"/>
    </row>
    <row r="72" ht="15.75" customHeight="1">
      <c r="D72" s="243"/>
      <c r="G72" s="243"/>
      <c r="K72" s="244"/>
      <c r="N72" s="244"/>
      <c r="T72" s="245"/>
      <c r="Z72" s="246"/>
    </row>
    <row r="73" ht="15.75" customHeight="1">
      <c r="D73" s="243"/>
      <c r="G73" s="243"/>
      <c r="K73" s="244"/>
      <c r="N73" s="244"/>
      <c r="T73" s="245"/>
      <c r="Z73" s="246"/>
    </row>
    <row r="74" ht="15.75" customHeight="1">
      <c r="D74" s="243"/>
      <c r="G74" s="243"/>
      <c r="K74" s="244"/>
      <c r="N74" s="244"/>
      <c r="T74" s="245"/>
      <c r="Z74" s="246"/>
    </row>
    <row r="75" ht="15.75" customHeight="1">
      <c r="D75" s="243"/>
      <c r="G75" s="243"/>
      <c r="K75" s="244"/>
      <c r="N75" s="244"/>
      <c r="T75" s="245"/>
      <c r="Z75" s="246"/>
    </row>
    <row r="76" ht="15.75" customHeight="1">
      <c r="D76" s="243"/>
      <c r="G76" s="243"/>
      <c r="K76" s="244"/>
      <c r="N76" s="244"/>
      <c r="T76" s="245"/>
      <c r="Z76" s="246"/>
    </row>
    <row r="77" ht="15.75" customHeight="1">
      <c r="D77" s="243"/>
      <c r="G77" s="243"/>
      <c r="K77" s="244"/>
      <c r="N77" s="244"/>
      <c r="T77" s="245"/>
      <c r="Z77" s="246"/>
    </row>
    <row r="78" ht="15.75" customHeight="1">
      <c r="D78" s="243"/>
      <c r="G78" s="243"/>
      <c r="K78" s="244"/>
      <c r="N78" s="244"/>
      <c r="T78" s="245"/>
      <c r="Z78" s="246"/>
    </row>
    <row r="79" ht="15.75" customHeight="1">
      <c r="D79" s="243"/>
      <c r="G79" s="243"/>
      <c r="K79" s="244"/>
      <c r="N79" s="244"/>
      <c r="T79" s="245"/>
      <c r="Z79" s="246"/>
    </row>
    <row r="80" ht="15.75" customHeight="1">
      <c r="D80" s="243"/>
      <c r="G80" s="243"/>
      <c r="K80" s="244"/>
      <c r="N80" s="244"/>
      <c r="T80" s="245"/>
      <c r="Z80" s="246"/>
    </row>
    <row r="81" ht="15.75" customHeight="1">
      <c r="D81" s="243"/>
      <c r="G81" s="243"/>
      <c r="K81" s="244"/>
      <c r="N81" s="244"/>
      <c r="T81" s="245"/>
      <c r="Z81" s="246"/>
    </row>
    <row r="82" ht="15.75" customHeight="1">
      <c r="D82" s="243"/>
      <c r="G82" s="243"/>
      <c r="K82" s="244"/>
      <c r="N82" s="244"/>
      <c r="T82" s="245"/>
      <c r="Z82" s="246"/>
    </row>
    <row r="83" ht="15.75" customHeight="1">
      <c r="D83" s="243"/>
      <c r="G83" s="243"/>
      <c r="K83" s="244"/>
      <c r="N83" s="244"/>
      <c r="T83" s="245"/>
      <c r="Z83" s="246"/>
    </row>
    <row r="84" ht="15.75" customHeight="1">
      <c r="D84" s="243"/>
      <c r="G84" s="243"/>
      <c r="K84" s="244"/>
      <c r="N84" s="244"/>
      <c r="T84" s="245"/>
      <c r="Z84" s="246"/>
    </row>
    <row r="85" ht="15.75" customHeight="1">
      <c r="D85" s="243"/>
      <c r="G85" s="243"/>
      <c r="K85" s="244"/>
      <c r="N85" s="244"/>
      <c r="T85" s="245"/>
      <c r="Z85" s="246"/>
    </row>
    <row r="86" ht="15.75" customHeight="1">
      <c r="D86" s="243"/>
      <c r="G86" s="243"/>
      <c r="K86" s="244"/>
      <c r="N86" s="244"/>
      <c r="T86" s="245"/>
      <c r="Z86" s="246"/>
    </row>
    <row r="87" ht="15.75" customHeight="1">
      <c r="D87" s="243"/>
      <c r="G87" s="243"/>
      <c r="K87" s="244"/>
      <c r="N87" s="244"/>
      <c r="T87" s="245"/>
      <c r="Z87" s="246"/>
    </row>
    <row r="88" ht="15.75" customHeight="1">
      <c r="D88" s="243"/>
      <c r="G88" s="243"/>
      <c r="K88" s="244"/>
      <c r="N88" s="244"/>
      <c r="T88" s="245"/>
      <c r="Z88" s="246"/>
    </row>
    <row r="89" ht="15.75" customHeight="1">
      <c r="D89" s="243"/>
      <c r="G89" s="243"/>
      <c r="K89" s="244"/>
      <c r="N89" s="244"/>
      <c r="T89" s="245"/>
      <c r="Z89" s="246"/>
    </row>
    <row r="90" ht="15.75" customHeight="1">
      <c r="D90" s="243"/>
      <c r="G90" s="243"/>
      <c r="K90" s="244"/>
      <c r="N90" s="244"/>
      <c r="T90" s="245"/>
      <c r="Z90" s="246"/>
    </row>
    <row r="91" ht="15.75" customHeight="1">
      <c r="D91" s="243"/>
      <c r="G91" s="243"/>
      <c r="K91" s="244"/>
      <c r="N91" s="244"/>
      <c r="T91" s="245"/>
      <c r="Z91" s="246"/>
    </row>
    <row r="92" ht="15.75" customHeight="1">
      <c r="D92" s="243"/>
      <c r="G92" s="243"/>
      <c r="K92" s="244"/>
      <c r="N92" s="244"/>
      <c r="T92" s="245"/>
      <c r="Z92" s="246"/>
    </row>
    <row r="93" ht="15.75" customHeight="1">
      <c r="D93" s="243"/>
      <c r="G93" s="243"/>
      <c r="K93" s="244"/>
      <c r="N93" s="244"/>
      <c r="T93" s="245"/>
      <c r="Z93" s="246"/>
    </row>
    <row r="94" ht="15.75" customHeight="1">
      <c r="D94" s="243"/>
      <c r="G94" s="243"/>
      <c r="K94" s="244"/>
      <c r="N94" s="244"/>
      <c r="T94" s="245"/>
      <c r="Z94" s="246"/>
    </row>
    <row r="95" ht="15.75" customHeight="1">
      <c r="D95" s="243"/>
      <c r="G95" s="243"/>
      <c r="K95" s="244"/>
      <c r="N95" s="244"/>
      <c r="T95" s="245"/>
      <c r="Z95" s="246"/>
    </row>
    <row r="96" ht="15.75" customHeight="1">
      <c r="D96" s="243"/>
      <c r="G96" s="243"/>
      <c r="K96" s="244"/>
      <c r="N96" s="244"/>
      <c r="T96" s="245"/>
      <c r="Z96" s="246"/>
    </row>
    <row r="97" ht="15.75" customHeight="1">
      <c r="D97" s="243"/>
      <c r="G97" s="243"/>
      <c r="K97" s="244"/>
      <c r="N97" s="244"/>
      <c r="T97" s="245"/>
      <c r="Z97" s="246"/>
    </row>
    <row r="98" ht="15.75" customHeight="1">
      <c r="D98" s="243"/>
      <c r="G98" s="243"/>
      <c r="K98" s="244"/>
      <c r="N98" s="244"/>
      <c r="T98" s="245"/>
      <c r="Z98" s="246"/>
    </row>
    <row r="99" ht="15.75" customHeight="1">
      <c r="D99" s="243"/>
      <c r="G99" s="243"/>
      <c r="K99" s="244"/>
      <c r="N99" s="244"/>
      <c r="T99" s="245"/>
      <c r="Z99" s="246"/>
    </row>
    <row r="100" ht="15.75" customHeight="1">
      <c r="D100" s="243"/>
      <c r="G100" s="243"/>
      <c r="K100" s="244"/>
      <c r="N100" s="244"/>
      <c r="T100" s="245"/>
      <c r="Z100" s="246"/>
    </row>
    <row r="101" ht="15.75" customHeight="1">
      <c r="D101" s="243"/>
      <c r="G101" s="243"/>
      <c r="K101" s="244"/>
      <c r="N101" s="244"/>
      <c r="T101" s="245"/>
      <c r="Z101" s="246"/>
    </row>
    <row r="102" ht="15.75" customHeight="1">
      <c r="D102" s="243"/>
      <c r="G102" s="243"/>
      <c r="K102" s="244"/>
      <c r="N102" s="244"/>
      <c r="T102" s="245"/>
      <c r="Z102" s="246"/>
    </row>
    <row r="103" ht="15.75" customHeight="1">
      <c r="D103" s="243"/>
      <c r="G103" s="243"/>
      <c r="K103" s="244"/>
      <c r="N103" s="244"/>
      <c r="T103" s="245"/>
      <c r="Z103" s="246"/>
    </row>
    <row r="104" ht="15.75" customHeight="1">
      <c r="D104" s="243"/>
      <c r="G104" s="243"/>
      <c r="K104" s="244"/>
      <c r="N104" s="244"/>
      <c r="T104" s="245"/>
      <c r="Z104" s="246"/>
    </row>
    <row r="105" ht="15.75" customHeight="1">
      <c r="D105" s="243"/>
      <c r="G105" s="243"/>
      <c r="K105" s="244"/>
      <c r="N105" s="244"/>
      <c r="T105" s="245"/>
      <c r="Z105" s="246"/>
    </row>
    <row r="106" ht="15.75" customHeight="1">
      <c r="D106" s="243"/>
      <c r="G106" s="243"/>
      <c r="K106" s="244"/>
      <c r="N106" s="244"/>
      <c r="T106" s="245"/>
      <c r="Z106" s="246"/>
    </row>
    <row r="107" ht="15.75" customHeight="1">
      <c r="D107" s="243"/>
      <c r="G107" s="243"/>
      <c r="K107" s="244"/>
      <c r="N107" s="244"/>
      <c r="T107" s="245"/>
      <c r="Z107" s="246"/>
    </row>
    <row r="108" ht="15.75" customHeight="1">
      <c r="D108" s="243"/>
      <c r="G108" s="243"/>
      <c r="K108" s="244"/>
      <c r="N108" s="244"/>
      <c r="T108" s="245"/>
      <c r="Z108" s="246"/>
    </row>
    <row r="109" ht="15.75" customHeight="1">
      <c r="D109" s="243"/>
      <c r="G109" s="243"/>
      <c r="K109" s="244"/>
      <c r="N109" s="244"/>
      <c r="T109" s="245"/>
      <c r="Z109" s="246"/>
    </row>
    <row r="110" ht="15.75" customHeight="1">
      <c r="D110" s="243"/>
      <c r="G110" s="243"/>
      <c r="K110" s="244"/>
      <c r="N110" s="244"/>
      <c r="T110" s="245"/>
      <c r="Z110" s="246"/>
    </row>
    <row r="111" ht="15.75" customHeight="1">
      <c r="D111" s="243"/>
      <c r="G111" s="243"/>
      <c r="K111" s="244"/>
      <c r="N111" s="244"/>
      <c r="T111" s="245"/>
      <c r="Z111" s="246"/>
    </row>
    <row r="112" ht="15.75" customHeight="1">
      <c r="D112" s="243"/>
      <c r="G112" s="243"/>
      <c r="K112" s="244"/>
      <c r="N112" s="244"/>
      <c r="T112" s="245"/>
      <c r="Z112" s="246"/>
    </row>
    <row r="113" ht="15.75" customHeight="1">
      <c r="D113" s="243"/>
      <c r="G113" s="243"/>
      <c r="K113" s="244"/>
      <c r="N113" s="244"/>
      <c r="T113" s="245"/>
      <c r="Z113" s="246"/>
    </row>
    <row r="114" ht="15.75" customHeight="1">
      <c r="D114" s="243"/>
      <c r="G114" s="243"/>
      <c r="K114" s="244"/>
      <c r="N114" s="244"/>
      <c r="T114" s="245"/>
      <c r="Z114" s="246"/>
    </row>
    <row r="115" ht="15.75" customHeight="1">
      <c r="D115" s="243"/>
      <c r="G115" s="243"/>
      <c r="K115" s="244"/>
      <c r="N115" s="244"/>
      <c r="T115" s="245"/>
      <c r="Z115" s="246"/>
    </row>
    <row r="116" ht="15.75" customHeight="1">
      <c r="D116" s="243"/>
      <c r="G116" s="243"/>
      <c r="K116" s="244"/>
      <c r="N116" s="244"/>
      <c r="T116" s="245"/>
      <c r="Z116" s="246"/>
    </row>
    <row r="117" ht="15.75" customHeight="1">
      <c r="D117" s="243"/>
      <c r="G117" s="243"/>
      <c r="K117" s="244"/>
      <c r="N117" s="244"/>
      <c r="T117" s="245"/>
      <c r="Z117" s="246"/>
    </row>
    <row r="118" ht="15.75" customHeight="1">
      <c r="D118" s="243"/>
      <c r="G118" s="243"/>
      <c r="K118" s="244"/>
      <c r="N118" s="244"/>
      <c r="T118" s="245"/>
      <c r="Z118" s="246"/>
    </row>
    <row r="119" ht="15.75" customHeight="1">
      <c r="D119" s="243"/>
      <c r="G119" s="243"/>
      <c r="K119" s="244"/>
      <c r="N119" s="244"/>
      <c r="T119" s="245"/>
      <c r="Z119" s="246"/>
    </row>
    <row r="120" ht="15.75" customHeight="1">
      <c r="D120" s="243"/>
      <c r="G120" s="243"/>
      <c r="K120" s="244"/>
      <c r="N120" s="244"/>
      <c r="T120" s="245"/>
      <c r="Z120" s="246"/>
    </row>
    <row r="121" ht="15.75" customHeight="1">
      <c r="D121" s="243"/>
      <c r="G121" s="243"/>
      <c r="K121" s="244"/>
      <c r="N121" s="244"/>
      <c r="T121" s="245"/>
      <c r="Z121" s="246"/>
    </row>
    <row r="122" ht="15.75" customHeight="1">
      <c r="D122" s="243"/>
      <c r="G122" s="243"/>
      <c r="K122" s="244"/>
      <c r="N122" s="244"/>
      <c r="T122" s="245"/>
      <c r="Z122" s="246"/>
    </row>
    <row r="123" ht="15.75" customHeight="1">
      <c r="D123" s="243"/>
      <c r="G123" s="243"/>
      <c r="K123" s="244"/>
      <c r="N123" s="244"/>
      <c r="T123" s="245"/>
      <c r="Z123" s="246"/>
    </row>
    <row r="124" ht="15.75" customHeight="1">
      <c r="D124" s="243"/>
      <c r="G124" s="243"/>
      <c r="K124" s="244"/>
      <c r="N124" s="244"/>
      <c r="T124" s="245"/>
      <c r="Z124" s="246"/>
    </row>
    <row r="125" ht="15.75" customHeight="1">
      <c r="D125" s="243"/>
      <c r="G125" s="243"/>
      <c r="K125" s="244"/>
      <c r="N125" s="244"/>
      <c r="T125" s="245"/>
      <c r="Z125" s="246"/>
    </row>
    <row r="126" ht="15.75" customHeight="1">
      <c r="D126" s="243"/>
      <c r="G126" s="243"/>
      <c r="K126" s="244"/>
      <c r="N126" s="244"/>
      <c r="T126" s="245"/>
      <c r="Z126" s="246"/>
    </row>
    <row r="127" ht="15.75" customHeight="1">
      <c r="D127" s="243"/>
      <c r="G127" s="243"/>
      <c r="K127" s="244"/>
      <c r="N127" s="244"/>
      <c r="T127" s="245"/>
      <c r="Z127" s="246"/>
    </row>
    <row r="128" ht="15.75" customHeight="1">
      <c r="D128" s="243"/>
      <c r="G128" s="243"/>
      <c r="K128" s="244"/>
      <c r="N128" s="244"/>
      <c r="T128" s="245"/>
      <c r="Z128" s="246"/>
    </row>
    <row r="129" ht="15.75" customHeight="1">
      <c r="D129" s="243"/>
      <c r="G129" s="243"/>
      <c r="K129" s="244"/>
      <c r="N129" s="244"/>
      <c r="T129" s="245"/>
      <c r="Z129" s="246"/>
    </row>
    <row r="130" ht="15.75" customHeight="1">
      <c r="D130" s="243"/>
      <c r="G130" s="243"/>
      <c r="K130" s="244"/>
      <c r="N130" s="244"/>
      <c r="T130" s="245"/>
      <c r="Z130" s="246"/>
    </row>
    <row r="131" ht="15.75" customHeight="1">
      <c r="D131" s="243"/>
      <c r="G131" s="243"/>
      <c r="K131" s="244"/>
      <c r="N131" s="244"/>
      <c r="T131" s="245"/>
      <c r="Z131" s="246"/>
    </row>
    <row r="132" ht="15.75" customHeight="1">
      <c r="D132" s="243"/>
      <c r="G132" s="243"/>
      <c r="K132" s="244"/>
      <c r="N132" s="244"/>
      <c r="T132" s="245"/>
      <c r="Z132" s="246"/>
    </row>
    <row r="133" ht="15.75" customHeight="1">
      <c r="D133" s="243"/>
      <c r="G133" s="243"/>
      <c r="K133" s="244"/>
      <c r="N133" s="244"/>
      <c r="T133" s="245"/>
      <c r="Z133" s="246"/>
    </row>
    <row r="134" ht="15.75" customHeight="1">
      <c r="D134" s="243"/>
      <c r="G134" s="243"/>
      <c r="K134" s="244"/>
      <c r="N134" s="244"/>
      <c r="T134" s="245"/>
      <c r="Z134" s="246"/>
    </row>
    <row r="135" ht="15.75" customHeight="1">
      <c r="D135" s="243"/>
      <c r="G135" s="243"/>
      <c r="K135" s="244"/>
      <c r="N135" s="244"/>
      <c r="T135" s="245"/>
      <c r="Z135" s="246"/>
    </row>
    <row r="136" ht="15.75" customHeight="1">
      <c r="D136" s="243"/>
      <c r="G136" s="243"/>
      <c r="K136" s="244"/>
      <c r="N136" s="244"/>
      <c r="T136" s="245"/>
      <c r="Z136" s="246"/>
    </row>
    <row r="137" ht="15.75" customHeight="1">
      <c r="D137" s="243"/>
      <c r="G137" s="243"/>
      <c r="K137" s="244"/>
      <c r="N137" s="244"/>
      <c r="T137" s="245"/>
      <c r="Z137" s="246"/>
    </row>
    <row r="138" ht="15.75" customHeight="1">
      <c r="D138" s="243"/>
      <c r="G138" s="243"/>
      <c r="K138" s="244"/>
      <c r="N138" s="244"/>
      <c r="T138" s="245"/>
      <c r="Z138" s="246"/>
    </row>
    <row r="139" ht="15.75" customHeight="1">
      <c r="D139" s="243"/>
      <c r="G139" s="243"/>
      <c r="K139" s="244"/>
      <c r="N139" s="244"/>
      <c r="T139" s="245"/>
      <c r="Z139" s="246"/>
    </row>
    <row r="140" ht="15.75" customHeight="1">
      <c r="D140" s="243"/>
      <c r="G140" s="243"/>
      <c r="K140" s="244"/>
      <c r="N140" s="244"/>
      <c r="T140" s="245"/>
      <c r="Z140" s="246"/>
    </row>
    <row r="141" ht="15.75" customHeight="1">
      <c r="D141" s="243"/>
      <c r="G141" s="243"/>
      <c r="K141" s="244"/>
      <c r="N141" s="244"/>
      <c r="T141" s="245"/>
      <c r="Z141" s="246"/>
    </row>
    <row r="142" ht="15.75" customHeight="1">
      <c r="D142" s="243"/>
      <c r="G142" s="243"/>
      <c r="K142" s="244"/>
      <c r="N142" s="244"/>
      <c r="T142" s="245"/>
      <c r="Z142" s="246"/>
    </row>
    <row r="143" ht="15.75" customHeight="1">
      <c r="D143" s="243"/>
      <c r="G143" s="243"/>
      <c r="K143" s="244"/>
      <c r="N143" s="244"/>
      <c r="T143" s="245"/>
      <c r="Z143" s="246"/>
    </row>
    <row r="144" ht="15.75" customHeight="1">
      <c r="D144" s="243"/>
      <c r="G144" s="243"/>
      <c r="K144" s="244"/>
      <c r="N144" s="244"/>
      <c r="T144" s="245"/>
      <c r="Z144" s="246"/>
    </row>
    <row r="145" ht="15.75" customHeight="1">
      <c r="D145" s="243"/>
      <c r="G145" s="243"/>
      <c r="K145" s="244"/>
      <c r="N145" s="244"/>
      <c r="T145" s="245"/>
      <c r="Z145" s="246"/>
    </row>
    <row r="146" ht="15.75" customHeight="1">
      <c r="D146" s="243"/>
      <c r="G146" s="243"/>
      <c r="K146" s="244"/>
      <c r="N146" s="244"/>
      <c r="T146" s="245"/>
      <c r="Z146" s="246"/>
    </row>
    <row r="147" ht="15.75" customHeight="1">
      <c r="D147" s="243"/>
      <c r="G147" s="243"/>
      <c r="K147" s="244"/>
      <c r="N147" s="244"/>
      <c r="T147" s="245"/>
      <c r="Z147" s="246"/>
    </row>
    <row r="148" ht="15.75" customHeight="1">
      <c r="D148" s="243"/>
      <c r="G148" s="243"/>
      <c r="K148" s="244"/>
      <c r="N148" s="244"/>
      <c r="T148" s="245"/>
      <c r="Z148" s="246"/>
    </row>
    <row r="149" ht="15.75" customHeight="1">
      <c r="D149" s="243"/>
      <c r="G149" s="243"/>
      <c r="K149" s="244"/>
      <c r="N149" s="244"/>
      <c r="T149" s="245"/>
      <c r="Z149" s="246"/>
    </row>
    <row r="150" ht="15.75" customHeight="1">
      <c r="D150" s="243"/>
      <c r="G150" s="243"/>
      <c r="K150" s="244"/>
      <c r="N150" s="244"/>
      <c r="T150" s="245"/>
      <c r="Z150" s="246"/>
    </row>
    <row r="151" ht="15.75" customHeight="1">
      <c r="D151" s="243"/>
      <c r="G151" s="243"/>
      <c r="K151" s="244"/>
      <c r="N151" s="244"/>
      <c r="T151" s="245"/>
      <c r="Z151" s="246"/>
    </row>
    <row r="152" ht="15.75" customHeight="1">
      <c r="D152" s="243"/>
      <c r="G152" s="243"/>
      <c r="K152" s="244"/>
      <c r="N152" s="244"/>
      <c r="T152" s="245"/>
      <c r="Z152" s="246"/>
    </row>
    <row r="153" ht="15.75" customHeight="1">
      <c r="D153" s="243"/>
      <c r="G153" s="243"/>
      <c r="K153" s="244"/>
      <c r="N153" s="244"/>
      <c r="T153" s="245"/>
      <c r="Z153" s="246"/>
    </row>
    <row r="154" ht="15.75" customHeight="1">
      <c r="D154" s="243"/>
      <c r="G154" s="243"/>
      <c r="K154" s="244"/>
      <c r="N154" s="244"/>
      <c r="T154" s="245"/>
      <c r="Z154" s="246"/>
    </row>
    <row r="155" ht="15.75" customHeight="1">
      <c r="D155" s="243"/>
      <c r="G155" s="243"/>
      <c r="K155" s="244"/>
      <c r="N155" s="244"/>
      <c r="T155" s="245"/>
      <c r="Z155" s="246"/>
    </row>
    <row r="156" ht="15.75" customHeight="1">
      <c r="D156" s="243"/>
      <c r="G156" s="243"/>
      <c r="K156" s="244"/>
      <c r="N156" s="244"/>
      <c r="T156" s="245"/>
      <c r="Z156" s="246"/>
    </row>
    <row r="157" ht="15.75" customHeight="1">
      <c r="D157" s="243"/>
      <c r="G157" s="243"/>
      <c r="K157" s="244"/>
      <c r="N157" s="244"/>
      <c r="T157" s="245"/>
      <c r="Z157" s="246"/>
    </row>
    <row r="158" ht="15.75" customHeight="1">
      <c r="D158" s="243"/>
      <c r="G158" s="243"/>
      <c r="K158" s="244"/>
      <c r="N158" s="244"/>
      <c r="T158" s="245"/>
      <c r="Z158" s="246"/>
    </row>
    <row r="159" ht="15.75" customHeight="1">
      <c r="D159" s="243"/>
      <c r="G159" s="243"/>
      <c r="K159" s="244"/>
      <c r="N159" s="244"/>
      <c r="T159" s="245"/>
      <c r="Z159" s="246"/>
    </row>
    <row r="160" ht="15.75" customHeight="1">
      <c r="D160" s="243"/>
      <c r="G160" s="243"/>
      <c r="K160" s="244"/>
      <c r="N160" s="244"/>
      <c r="T160" s="245"/>
      <c r="Z160" s="246"/>
    </row>
    <row r="161" ht="15.75" customHeight="1">
      <c r="D161" s="243"/>
      <c r="G161" s="243"/>
      <c r="K161" s="244"/>
      <c r="N161" s="244"/>
      <c r="T161" s="245"/>
      <c r="Z161" s="246"/>
    </row>
    <row r="162" ht="15.75" customHeight="1">
      <c r="D162" s="243"/>
      <c r="G162" s="243"/>
      <c r="K162" s="244"/>
      <c r="N162" s="244"/>
      <c r="T162" s="245"/>
      <c r="Z162" s="246"/>
    </row>
    <row r="163" ht="15.75" customHeight="1">
      <c r="D163" s="243"/>
      <c r="G163" s="243"/>
      <c r="K163" s="244"/>
      <c r="N163" s="244"/>
      <c r="T163" s="245"/>
      <c r="Z163" s="246"/>
    </row>
    <row r="164" ht="15.75" customHeight="1">
      <c r="D164" s="243"/>
      <c r="G164" s="243"/>
      <c r="K164" s="244"/>
      <c r="N164" s="244"/>
      <c r="T164" s="245"/>
      <c r="Z164" s="246"/>
    </row>
    <row r="165" ht="15.75" customHeight="1">
      <c r="D165" s="243"/>
      <c r="G165" s="243"/>
      <c r="K165" s="244"/>
      <c r="N165" s="244"/>
      <c r="T165" s="245"/>
      <c r="Z165" s="246"/>
    </row>
    <row r="166" ht="15.75" customHeight="1">
      <c r="D166" s="243"/>
      <c r="G166" s="243"/>
      <c r="K166" s="244"/>
      <c r="N166" s="244"/>
      <c r="T166" s="245"/>
      <c r="Z166" s="246"/>
    </row>
    <row r="167" ht="15.75" customHeight="1">
      <c r="D167" s="243"/>
      <c r="G167" s="243"/>
      <c r="K167" s="244"/>
      <c r="N167" s="244"/>
      <c r="T167" s="245"/>
      <c r="Z167" s="246"/>
    </row>
    <row r="168" ht="15.75" customHeight="1">
      <c r="D168" s="243"/>
      <c r="G168" s="243"/>
      <c r="K168" s="244"/>
      <c r="N168" s="244"/>
      <c r="T168" s="245"/>
      <c r="Z168" s="246"/>
    </row>
    <row r="169" ht="15.75" customHeight="1">
      <c r="D169" s="243"/>
      <c r="G169" s="243"/>
      <c r="K169" s="244"/>
      <c r="N169" s="244"/>
      <c r="T169" s="245"/>
      <c r="Z169" s="246"/>
    </row>
    <row r="170" ht="15.75" customHeight="1">
      <c r="D170" s="243"/>
      <c r="G170" s="243"/>
      <c r="K170" s="244"/>
      <c r="N170" s="244"/>
      <c r="T170" s="245"/>
      <c r="Z170" s="246"/>
    </row>
    <row r="171" ht="15.75" customHeight="1">
      <c r="D171" s="243"/>
      <c r="G171" s="243"/>
      <c r="K171" s="244"/>
      <c r="N171" s="244"/>
      <c r="T171" s="245"/>
      <c r="Z171" s="246"/>
    </row>
    <row r="172" ht="15.75" customHeight="1">
      <c r="D172" s="243"/>
      <c r="G172" s="243"/>
      <c r="K172" s="244"/>
      <c r="N172" s="244"/>
      <c r="T172" s="245"/>
      <c r="Z172" s="246"/>
    </row>
    <row r="173" ht="15.75" customHeight="1">
      <c r="D173" s="243"/>
      <c r="G173" s="243"/>
      <c r="K173" s="244"/>
      <c r="N173" s="244"/>
      <c r="T173" s="245"/>
      <c r="Z173" s="246"/>
    </row>
    <row r="174" ht="15.75" customHeight="1">
      <c r="D174" s="243"/>
      <c r="G174" s="243"/>
      <c r="K174" s="244"/>
      <c r="N174" s="244"/>
      <c r="T174" s="245"/>
      <c r="Z174" s="246"/>
    </row>
    <row r="175" ht="15.75" customHeight="1">
      <c r="D175" s="243"/>
      <c r="G175" s="243"/>
      <c r="K175" s="244"/>
      <c r="N175" s="244"/>
      <c r="T175" s="245"/>
      <c r="Z175" s="246"/>
    </row>
    <row r="176" ht="15.75" customHeight="1">
      <c r="D176" s="243"/>
      <c r="G176" s="243"/>
      <c r="K176" s="244"/>
      <c r="N176" s="244"/>
      <c r="T176" s="245"/>
      <c r="Z176" s="246"/>
    </row>
    <row r="177" ht="15.75" customHeight="1">
      <c r="D177" s="243"/>
      <c r="G177" s="243"/>
      <c r="K177" s="244"/>
      <c r="N177" s="244"/>
      <c r="T177" s="245"/>
      <c r="Z177" s="246"/>
    </row>
    <row r="178" ht="15.75" customHeight="1">
      <c r="D178" s="243"/>
      <c r="G178" s="243"/>
      <c r="K178" s="244"/>
      <c r="N178" s="244"/>
      <c r="T178" s="245"/>
      <c r="Z178" s="246"/>
    </row>
    <row r="179" ht="15.75" customHeight="1">
      <c r="D179" s="243"/>
      <c r="G179" s="243"/>
      <c r="K179" s="244"/>
      <c r="N179" s="244"/>
      <c r="T179" s="245"/>
      <c r="Z179" s="246"/>
    </row>
    <row r="180" ht="15.75" customHeight="1">
      <c r="D180" s="243"/>
      <c r="G180" s="243"/>
      <c r="K180" s="244"/>
      <c r="N180" s="244"/>
      <c r="T180" s="245"/>
      <c r="Z180" s="246"/>
    </row>
    <row r="181" ht="15.75" customHeight="1">
      <c r="D181" s="243"/>
      <c r="G181" s="243"/>
      <c r="K181" s="244"/>
      <c r="N181" s="244"/>
      <c r="T181" s="245"/>
      <c r="Z181" s="246"/>
    </row>
    <row r="182" ht="15.75" customHeight="1">
      <c r="D182" s="243"/>
      <c r="G182" s="243"/>
      <c r="K182" s="244"/>
      <c r="N182" s="244"/>
      <c r="T182" s="245"/>
      <c r="Z182" s="246"/>
    </row>
    <row r="183" ht="15.75" customHeight="1">
      <c r="D183" s="243"/>
      <c r="G183" s="243"/>
      <c r="K183" s="244"/>
      <c r="N183" s="244"/>
      <c r="T183" s="245"/>
      <c r="Z183" s="246"/>
    </row>
    <row r="184" ht="15.75" customHeight="1">
      <c r="D184" s="243"/>
      <c r="G184" s="243"/>
      <c r="K184" s="244"/>
      <c r="N184" s="244"/>
      <c r="T184" s="245"/>
      <c r="Z184" s="246"/>
    </row>
    <row r="185" ht="15.75" customHeight="1">
      <c r="D185" s="243"/>
      <c r="G185" s="243"/>
      <c r="K185" s="244"/>
      <c r="N185" s="244"/>
      <c r="T185" s="245"/>
      <c r="Z185" s="246"/>
    </row>
    <row r="186" ht="15.75" customHeight="1">
      <c r="D186" s="243"/>
      <c r="G186" s="243"/>
      <c r="K186" s="244"/>
      <c r="N186" s="244"/>
      <c r="T186" s="245"/>
      <c r="Z186" s="246"/>
    </row>
    <row r="187" ht="15.75" customHeight="1">
      <c r="D187" s="243"/>
      <c r="G187" s="243"/>
      <c r="K187" s="244"/>
      <c r="N187" s="244"/>
      <c r="T187" s="245"/>
      <c r="Z187" s="246"/>
    </row>
    <row r="188" ht="15.75" customHeight="1">
      <c r="D188" s="243"/>
      <c r="G188" s="243"/>
      <c r="K188" s="244"/>
      <c r="N188" s="244"/>
      <c r="T188" s="245"/>
      <c r="Z188" s="246"/>
    </row>
    <row r="189" ht="15.75" customHeight="1">
      <c r="D189" s="243"/>
      <c r="G189" s="243"/>
      <c r="K189" s="244"/>
      <c r="N189" s="244"/>
      <c r="T189" s="245"/>
      <c r="Z189" s="246"/>
    </row>
    <row r="190" ht="15.75" customHeight="1">
      <c r="D190" s="243"/>
      <c r="G190" s="243"/>
      <c r="K190" s="244"/>
      <c r="N190" s="244"/>
      <c r="T190" s="245"/>
      <c r="Z190" s="246"/>
    </row>
    <row r="191" ht="15.75" customHeight="1">
      <c r="D191" s="243"/>
      <c r="G191" s="243"/>
      <c r="K191" s="244"/>
      <c r="N191" s="244"/>
      <c r="T191" s="245"/>
      <c r="Z191" s="246"/>
    </row>
    <row r="192" ht="15.75" customHeight="1">
      <c r="D192" s="243"/>
      <c r="G192" s="243"/>
      <c r="K192" s="244"/>
      <c r="N192" s="244"/>
      <c r="T192" s="245"/>
      <c r="Z192" s="246"/>
    </row>
    <row r="193" ht="15.75" customHeight="1">
      <c r="D193" s="243"/>
      <c r="G193" s="243"/>
      <c r="K193" s="244"/>
      <c r="N193" s="244"/>
      <c r="T193" s="245"/>
      <c r="Z193" s="246"/>
    </row>
    <row r="194" ht="15.75" customHeight="1">
      <c r="D194" s="243"/>
      <c r="G194" s="243"/>
      <c r="K194" s="244"/>
      <c r="N194" s="244"/>
      <c r="T194" s="245"/>
      <c r="Z194" s="246"/>
    </row>
    <row r="195" ht="15.75" customHeight="1">
      <c r="D195" s="243"/>
      <c r="G195" s="243"/>
      <c r="K195" s="244"/>
      <c r="N195" s="244"/>
      <c r="T195" s="245"/>
      <c r="Z195" s="246"/>
    </row>
    <row r="196" ht="15.75" customHeight="1">
      <c r="D196" s="243"/>
      <c r="G196" s="243"/>
      <c r="K196" s="244"/>
      <c r="N196" s="244"/>
      <c r="T196" s="245"/>
      <c r="Z196" s="246"/>
    </row>
    <row r="197" ht="15.75" customHeight="1">
      <c r="D197" s="243"/>
      <c r="G197" s="243"/>
      <c r="K197" s="244"/>
      <c r="N197" s="244"/>
      <c r="T197" s="245"/>
      <c r="Z197" s="246"/>
    </row>
    <row r="198" ht="15.75" customHeight="1">
      <c r="D198" s="243"/>
      <c r="G198" s="243"/>
      <c r="K198" s="244"/>
      <c r="N198" s="244"/>
      <c r="T198" s="245"/>
      <c r="Z198" s="246"/>
    </row>
    <row r="199" ht="15.75" customHeight="1">
      <c r="D199" s="243"/>
      <c r="G199" s="243"/>
      <c r="K199" s="244"/>
      <c r="N199" s="244"/>
      <c r="T199" s="245"/>
      <c r="Z199" s="246"/>
    </row>
    <row r="200" ht="15.75" customHeight="1">
      <c r="D200" s="243"/>
      <c r="G200" s="243"/>
      <c r="K200" s="244"/>
      <c r="N200" s="244"/>
      <c r="T200" s="245"/>
      <c r="Z200" s="246"/>
    </row>
    <row r="201" ht="15.75" customHeight="1">
      <c r="D201" s="243"/>
      <c r="G201" s="243"/>
      <c r="K201" s="244"/>
      <c r="N201" s="244"/>
      <c r="T201" s="245"/>
      <c r="Z201" s="246"/>
    </row>
    <row r="202" ht="15.75" customHeight="1">
      <c r="D202" s="243"/>
      <c r="G202" s="243"/>
      <c r="K202" s="244"/>
      <c r="N202" s="244"/>
      <c r="T202" s="245"/>
      <c r="Z202" s="246"/>
    </row>
    <row r="203" ht="15.75" customHeight="1">
      <c r="D203" s="243"/>
      <c r="G203" s="243"/>
      <c r="K203" s="244"/>
      <c r="N203" s="244"/>
      <c r="T203" s="245"/>
      <c r="Z203" s="246"/>
    </row>
    <row r="204" ht="15.75" customHeight="1">
      <c r="D204" s="243"/>
      <c r="G204" s="243"/>
      <c r="K204" s="244"/>
      <c r="N204" s="244"/>
      <c r="T204" s="245"/>
      <c r="Z204" s="246"/>
    </row>
    <row r="205" ht="15.75" customHeight="1">
      <c r="D205" s="243"/>
      <c r="G205" s="243"/>
      <c r="K205" s="244"/>
      <c r="N205" s="244"/>
      <c r="T205" s="245"/>
      <c r="Z205" s="246"/>
    </row>
    <row r="206" ht="15.75" customHeight="1">
      <c r="D206" s="243"/>
      <c r="G206" s="243"/>
      <c r="K206" s="244"/>
      <c r="N206" s="244"/>
      <c r="T206" s="245"/>
      <c r="Z206" s="246"/>
    </row>
    <row r="207" ht="15.75" customHeight="1">
      <c r="D207" s="243"/>
      <c r="G207" s="243"/>
      <c r="K207" s="244"/>
      <c r="N207" s="244"/>
      <c r="T207" s="245"/>
      <c r="Z207" s="246"/>
    </row>
    <row r="208" ht="15.75" customHeight="1">
      <c r="D208" s="243"/>
      <c r="G208" s="243"/>
      <c r="K208" s="244"/>
      <c r="N208" s="244"/>
      <c r="T208" s="245"/>
      <c r="Z208" s="246"/>
    </row>
    <row r="209" ht="15.75" customHeight="1">
      <c r="D209" s="243"/>
      <c r="G209" s="243"/>
      <c r="K209" s="244"/>
      <c r="N209" s="244"/>
      <c r="T209" s="245"/>
      <c r="Z209" s="246"/>
    </row>
    <row r="210" ht="15.75" customHeight="1">
      <c r="D210" s="243"/>
      <c r="G210" s="243"/>
      <c r="K210" s="244"/>
      <c r="N210" s="244"/>
      <c r="T210" s="245"/>
      <c r="Z210" s="246"/>
    </row>
    <row r="211" ht="15.75" customHeight="1">
      <c r="D211" s="243"/>
      <c r="G211" s="243"/>
      <c r="K211" s="244"/>
      <c r="N211" s="244"/>
      <c r="T211" s="245"/>
      <c r="Z211" s="246"/>
    </row>
    <row r="212" ht="15.75" customHeight="1">
      <c r="D212" s="243"/>
      <c r="G212" s="243"/>
      <c r="K212" s="244"/>
      <c r="N212" s="244"/>
      <c r="T212" s="245"/>
      <c r="Z212" s="246"/>
    </row>
    <row r="213" ht="15.75" customHeight="1">
      <c r="D213" s="243"/>
      <c r="G213" s="243"/>
      <c r="K213" s="244"/>
      <c r="N213" s="244"/>
      <c r="T213" s="245"/>
      <c r="Z213" s="246"/>
    </row>
    <row r="214" ht="15.75" customHeight="1">
      <c r="D214" s="243"/>
      <c r="G214" s="243"/>
      <c r="K214" s="244"/>
      <c r="N214" s="244"/>
      <c r="T214" s="245"/>
      <c r="Z214" s="246"/>
    </row>
    <row r="215" ht="15.75" customHeight="1">
      <c r="D215" s="243"/>
      <c r="G215" s="243"/>
      <c r="K215" s="244"/>
      <c r="N215" s="244"/>
      <c r="T215" s="245"/>
      <c r="Z215" s="246"/>
    </row>
    <row r="216" ht="15.75" customHeight="1">
      <c r="D216" s="243"/>
      <c r="G216" s="243"/>
      <c r="K216" s="244"/>
      <c r="N216" s="244"/>
      <c r="T216" s="245"/>
      <c r="Z216" s="246"/>
    </row>
    <row r="217" ht="15.75" customHeight="1">
      <c r="D217" s="243"/>
      <c r="G217" s="243"/>
      <c r="K217" s="244"/>
      <c r="N217" s="244"/>
      <c r="T217" s="245"/>
      <c r="Z217" s="246"/>
    </row>
    <row r="218" ht="15.75" customHeight="1">
      <c r="D218" s="243"/>
      <c r="G218" s="243"/>
      <c r="K218" s="244"/>
      <c r="N218" s="244"/>
      <c r="T218" s="245"/>
      <c r="Z218" s="246"/>
    </row>
    <row r="219" ht="15.75" customHeight="1">
      <c r="D219" s="243"/>
      <c r="G219" s="243"/>
      <c r="K219" s="244"/>
      <c r="N219" s="244"/>
      <c r="T219" s="245"/>
      <c r="Z219" s="246"/>
    </row>
    <row r="220" ht="15.75" customHeight="1">
      <c r="D220" s="243"/>
      <c r="G220" s="243"/>
      <c r="K220" s="244"/>
      <c r="N220" s="244"/>
      <c r="T220" s="245"/>
      <c r="Z220" s="24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56" t="s">
        <v>111</v>
      </c>
      <c r="B1" s="252" t="s">
        <v>10</v>
      </c>
      <c r="C1" s="58"/>
      <c r="D1" s="58"/>
      <c r="E1" s="252" t="s">
        <v>17</v>
      </c>
      <c r="F1" s="58"/>
      <c r="G1" s="58"/>
      <c r="H1" s="253" t="s">
        <v>25</v>
      </c>
      <c r="I1" s="58"/>
      <c r="J1" s="58"/>
      <c r="K1" s="254" t="s">
        <v>33</v>
      </c>
      <c r="L1" s="58"/>
      <c r="M1" s="58"/>
      <c r="N1" s="254" t="s">
        <v>40</v>
      </c>
      <c r="O1" s="58"/>
      <c r="P1" s="58"/>
      <c r="Q1" s="255" t="s">
        <v>112</v>
      </c>
      <c r="R1" s="58"/>
      <c r="S1" s="58"/>
      <c r="T1" s="255" t="s">
        <v>51</v>
      </c>
      <c r="U1" s="58"/>
      <c r="V1" s="58"/>
      <c r="W1" s="255" t="s">
        <v>58</v>
      </c>
      <c r="X1" s="58"/>
      <c r="Y1" s="58"/>
      <c r="Z1" s="255" t="s">
        <v>65</v>
      </c>
      <c r="AA1" s="58"/>
      <c r="AB1" s="58"/>
      <c r="AC1" s="255" t="s">
        <v>66</v>
      </c>
      <c r="AD1" s="58"/>
      <c r="AE1" s="58"/>
      <c r="AF1" s="255" t="s">
        <v>73</v>
      </c>
      <c r="AG1" s="58"/>
      <c r="AH1" s="58"/>
      <c r="AI1" s="256" t="s">
        <v>75</v>
      </c>
      <c r="AJ1" s="62" t="s">
        <v>113</v>
      </c>
    </row>
    <row r="2" ht="24.0" customHeight="1">
      <c r="A2" s="63"/>
      <c r="B2" s="257" t="s">
        <v>114</v>
      </c>
      <c r="C2" s="258" t="s">
        <v>115</v>
      </c>
      <c r="D2" s="259" t="s">
        <v>116</v>
      </c>
      <c r="E2" s="257" t="s">
        <v>114</v>
      </c>
      <c r="F2" s="258" t="s">
        <v>115</v>
      </c>
      <c r="G2" s="259" t="s">
        <v>116</v>
      </c>
      <c r="H2" s="257" t="s">
        <v>114</v>
      </c>
      <c r="I2" s="258" t="s">
        <v>115</v>
      </c>
      <c r="J2" s="259" t="s">
        <v>116</v>
      </c>
      <c r="K2" s="257" t="s">
        <v>114</v>
      </c>
      <c r="L2" s="258" t="s">
        <v>115</v>
      </c>
      <c r="M2" s="259" t="s">
        <v>116</v>
      </c>
      <c r="N2" s="257" t="s">
        <v>114</v>
      </c>
      <c r="O2" s="258" t="s">
        <v>115</v>
      </c>
      <c r="P2" s="259" t="s">
        <v>116</v>
      </c>
      <c r="Q2" s="257" t="s">
        <v>114</v>
      </c>
      <c r="R2" s="258" t="s">
        <v>115</v>
      </c>
      <c r="S2" s="259" t="s">
        <v>116</v>
      </c>
      <c r="T2" s="257" t="s">
        <v>114</v>
      </c>
      <c r="U2" s="258" t="s">
        <v>115</v>
      </c>
      <c r="V2" s="259" t="s">
        <v>116</v>
      </c>
      <c r="W2" s="257" t="s">
        <v>114</v>
      </c>
      <c r="X2" s="258" t="s">
        <v>115</v>
      </c>
      <c r="Y2" s="259" t="s">
        <v>116</v>
      </c>
      <c r="Z2" s="257" t="s">
        <v>114</v>
      </c>
      <c r="AA2" s="258" t="s">
        <v>115</v>
      </c>
      <c r="AB2" s="259" t="s">
        <v>116</v>
      </c>
      <c r="AC2" s="257" t="s">
        <v>114</v>
      </c>
      <c r="AD2" s="258" t="s">
        <v>115</v>
      </c>
      <c r="AE2" s="259" t="s">
        <v>116</v>
      </c>
      <c r="AF2" s="257" t="s">
        <v>114</v>
      </c>
      <c r="AG2" s="258" t="s">
        <v>115</v>
      </c>
      <c r="AH2" s="259" t="s">
        <v>116</v>
      </c>
      <c r="AI2" s="257" t="s">
        <v>114</v>
      </c>
      <c r="AJ2" s="67"/>
    </row>
    <row r="3" ht="21.75" customHeight="1">
      <c r="A3" s="68" t="s">
        <v>117</v>
      </c>
      <c r="B3" s="260">
        <f>100%+'Period Tables'!I3</f>
        <v>0.9091627355</v>
      </c>
      <c r="C3" s="261">
        <f t="shared" ref="C3:C8" si="1">IFERROR(ROUND(ifs(B3="","",B3&gt;=1.05,5,B3&gt;=1.02,4+(B3-1.02)/0.03,B3&gt;=0.99,3+(B3-0.99)/0.03,B3&gt;=0.95,2+(B3-0.95)/0.04,B3&gt;=0.9,1+(B3-0.9)/0.05,TRUE(),0),1),"")</f>
        <v>1.2</v>
      </c>
      <c r="D3" s="71">
        <f t="shared" ref="D3:D8" si="2">IF(C3="","",C3*C$9)</f>
        <v>0.048</v>
      </c>
      <c r="E3" s="262">
        <f>100%+'Period Tables'!F3</f>
        <v>1.053592755</v>
      </c>
      <c r="F3" s="261">
        <f t="shared" ref="F3:F8" si="3">IFERROR(ROUND(ifs(E3="","",E3&gt;=1.15,5,E3&gt;=1.075,4+(E3-1.075)/0.075,E3&gt;=1.05,3+(E3-1.05)/0.025,E3&gt;=1,2+(E3-1)/0.05,E3&gt;=0.95,1+(E3-0.95)/0.05,TRUE(),0),1),"")</f>
        <v>3.1</v>
      </c>
      <c r="G3" s="71">
        <f t="shared" ref="G3:G8" si="4">IF(F3="","",F3*F$9)</f>
        <v>0.124</v>
      </c>
      <c r="H3" s="263">
        <f>100%+'Period Tables'!V3</f>
        <v>0</v>
      </c>
      <c r="I3" s="261">
        <f t="shared" ref="I3:I8" si="5">IFERROR(ROUND(ifs(H3="","",H3&gt;=1.05,5,H3&gt;=1.01,4+(H3-1.01)/0.04,H3&gt;=0.95,3+(H3-0.95)/0.06,H3&gt;=0.85,2+(H3-0.85)/0.1,H3&gt;=0.75,1+(H3-0.75)/0.1,TRUE(),0),1),"")</f>
        <v>0</v>
      </c>
      <c r="J3" s="71">
        <f t="shared" ref="J3:J8" si="6">IF(I3="","",I3*I$9)</f>
        <v>0</v>
      </c>
      <c r="K3" s="264">
        <f>'Period Tables'!L3*100</f>
        <v>-2.6</v>
      </c>
      <c r="L3" s="261">
        <f t="shared" ref="L3:L8" si="7">IFERROR(ROUND(IFS(K3="","",K3&gt;=3,0,K3&gt;=2,1+(3-K3)/1,K3&gt;=1,2+(2-K3)/1,K3&gt;0,3+(1-K3)/1,K3&gt;=-1,4+(0-K3)/1,TRUE,5),1),"")</f>
        <v>5</v>
      </c>
      <c r="M3" s="71">
        <f t="shared" ref="M3:M8" si="8">IF(L3="","",L3*L$9)</f>
        <v>0.525</v>
      </c>
      <c r="N3" s="265">
        <f>'Period Tables'!O3*100</f>
        <v>1.4</v>
      </c>
      <c r="O3" s="261">
        <f t="shared" ref="O3:O8" si="9">IFERROR(ROUND(IFS(N3="","",N3&gt;=3,0,N3&gt;=2,1+(3-N3)/1,N3&gt;=1,2+(2-N3)/1,N3&gt;0,3+(1-N3)/1,N3&gt;=-1,4+(0-N3)/1,TRUE,5),1),"")</f>
        <v>2.6</v>
      </c>
      <c r="P3" s="71">
        <f t="shared" ref="P3:P8" si="10">IF(O3="","",O3*O$9)</f>
        <v>0.273</v>
      </c>
      <c r="Q3" s="266">
        <f>'Period Tables'!E12</f>
        <v>5</v>
      </c>
      <c r="R3" s="261">
        <f t="shared" ref="R3:R8" si="11">IF(OR(NOT(ISNUMBER(Q3)),Q3=0),"",IFERROR(ROUND(ifs(Q3&gt;=4.7,5,Q3&gt;=4.5,4+(Q3-4.5)/0.2,Q3&gt;=4.3,3+(Q3-4.3)/0.2,Q3&gt;=4,2+(Q3-4)/0.3,Q3&gt;=3.8,1+(Q3-3.8)/0.2,TRUE(),0),1),""))</f>
        <v>5</v>
      </c>
      <c r="S3" s="71">
        <f t="shared" ref="S3:S8" si="12">IF(R3="","",R3*R$9)</f>
        <v>1.05</v>
      </c>
      <c r="T3" s="267">
        <f>'Period Tables'!I20</f>
        <v>0.0405</v>
      </c>
      <c r="U3" s="261">
        <f t="shared" ref="U3:U8" si="13">IFERROR(ROUND(ifs(T3="","",T3&lt;=0.01,5,T3&lt;=0.015,4+(0.015-T3)/0.005,T3&lt;=0.02,3+(0.02-T3)/0.005,T3&lt;=0.04,2+(0.04-T3)/0.02,T3&lt;=0.06,1+(0.06-T3)/0.02,TRUE(),0),1),"")</f>
        <v>2</v>
      </c>
      <c r="V3" s="71">
        <f t="shared" ref="V3:V8" si="14">IF(U3="","",U3*U$9)</f>
        <v>0.17</v>
      </c>
      <c r="W3" s="268">
        <f>'Period Tables'!H31</f>
        <v>0.57</v>
      </c>
      <c r="X3" s="261">
        <f t="shared" ref="X3:X8" si="15">IFERROR(ROUND(ifs(W3="","",W3&lt;=1,5,W3&lt;=1.5,4+(1.5-W3)/0.5,W3&lt;=2,3+(2-W3)/0.5,W3&lt;=5,2+(5-W3)/3,W3&lt;=8,1+(8-W3)/3,TRUE(),0),1),"")</f>
        <v>5</v>
      </c>
      <c r="Y3" s="71">
        <f t="shared" ref="Y3:Y8" si="16">IF(X3="","",X3*X$9)</f>
        <v>0.325</v>
      </c>
      <c r="Z3" s="269">
        <f>'Period Tables'!E20</f>
        <v>4</v>
      </c>
      <c r="AA3" s="261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71">
        <f t="shared" ref="AB3:AB8" si="18">IF(AA3="","",AA3*AA$9)</f>
        <v>0.13</v>
      </c>
      <c r="AC3" s="270">
        <v>92.0</v>
      </c>
      <c r="AD3" s="261">
        <f t="shared" ref="AD3:AD8" si="19">IFERROR(ROUND(ifs(AC3="","",AC3&gt;=94,5,AC3&gt;=89,4+(AC3-89)/5,AC3&gt;=83,3+(AC3-83)/6,AC3&gt;=75,2+(AC3-75)/8,AC3&gt;=70,1+(AC3-70)/5,TRUE(),0),1),"")</f>
        <v>4.6</v>
      </c>
      <c r="AE3" s="71">
        <f t="shared" ref="AE3:AE8" si="20">IF(AD3="","",AD3*AD$9)</f>
        <v>0.483</v>
      </c>
      <c r="AF3" s="271">
        <v>90.0</v>
      </c>
      <c r="AG3" s="261">
        <f t="shared" ref="AG3:AG8" si="21">IFERROR(ROUND(ifs(AF3="","",AF3&gt;=94,5,AF3&gt;=89,4+(AF3-89)/5,AF3&gt;=83,3+(AF3-83)/6,AF3&gt;=75,2+(AF3-75)/8,AF3&gt;=70,1+(AF3-70)/5,TRUE(),0),1),"")</f>
        <v>4.2</v>
      </c>
      <c r="AH3" s="71">
        <f t="shared" ref="AH3:AH8" si="22">IF(AG3="","",AG3*AG$9)</f>
        <v>0.231</v>
      </c>
      <c r="AI3" s="272">
        <v>0.85</v>
      </c>
      <c r="AJ3" s="273">
        <f t="shared" ref="AJ3:AJ8" si="23">SUM(D3,G3,J3,M3,P3,S3,V3,Y3,AB3,AE3,AH3)</f>
        <v>3.359</v>
      </c>
    </row>
    <row r="4" ht="21.75" customHeight="1">
      <c r="A4" s="68" t="s">
        <v>118</v>
      </c>
      <c r="B4" s="260">
        <f>100%+'Period Tables'!I4</f>
        <v>0.8022075244</v>
      </c>
      <c r="C4" s="261">
        <f t="shared" si="1"/>
        <v>0</v>
      </c>
      <c r="D4" s="71">
        <f t="shared" si="2"/>
        <v>0</v>
      </c>
      <c r="E4" s="262">
        <f>100%+'Period Tables'!F4</f>
        <v>0.991307091</v>
      </c>
      <c r="F4" s="261">
        <f t="shared" si="3"/>
        <v>1.8</v>
      </c>
      <c r="G4" s="71">
        <f t="shared" si="4"/>
        <v>0.072</v>
      </c>
      <c r="H4" s="263">
        <f>100%+'Period Tables'!V4</f>
        <v>0</v>
      </c>
      <c r="I4" s="261">
        <f t="shared" si="5"/>
        <v>0</v>
      </c>
      <c r="J4" s="71">
        <f t="shared" si="6"/>
        <v>0</v>
      </c>
      <c r="K4" s="264">
        <f>'Period Tables'!L4*100</f>
        <v>3.5</v>
      </c>
      <c r="L4" s="261">
        <f t="shared" si="7"/>
        <v>0</v>
      </c>
      <c r="M4" s="71">
        <f t="shared" si="8"/>
        <v>0</v>
      </c>
      <c r="N4" s="265">
        <f>'Period Tables'!O4*100</f>
        <v>2.6</v>
      </c>
      <c r="O4" s="261">
        <f t="shared" si="9"/>
        <v>1.4</v>
      </c>
      <c r="P4" s="71">
        <f t="shared" si="10"/>
        <v>0.147</v>
      </c>
      <c r="Q4" s="266">
        <f>'Period Tables'!E15</f>
        <v>4.67</v>
      </c>
      <c r="R4" s="261">
        <f t="shared" si="11"/>
        <v>4.9</v>
      </c>
      <c r="S4" s="71">
        <f t="shared" si="12"/>
        <v>1.029</v>
      </c>
      <c r="T4" s="267">
        <f>'Period Tables'!I23</f>
        <v>0.0315</v>
      </c>
      <c r="U4" s="261">
        <f t="shared" si="13"/>
        <v>2.4</v>
      </c>
      <c r="V4" s="71">
        <f t="shared" si="14"/>
        <v>0.204</v>
      </c>
      <c r="W4" s="268">
        <f>'Period Tables'!H34</f>
        <v>1.48</v>
      </c>
      <c r="X4" s="261">
        <f t="shared" si="15"/>
        <v>4</v>
      </c>
      <c r="Y4" s="71">
        <f t="shared" si="16"/>
        <v>0.26</v>
      </c>
      <c r="Z4" s="269">
        <f>'Period Tables'!E23</f>
        <v>4.4</v>
      </c>
      <c r="AA4" s="261">
        <f t="shared" si="17"/>
        <v>3.5</v>
      </c>
      <c r="AB4" s="71">
        <f t="shared" si="18"/>
        <v>0.2275</v>
      </c>
      <c r="AC4" s="270">
        <v>88.0</v>
      </c>
      <c r="AD4" s="261">
        <f t="shared" si="19"/>
        <v>3.8</v>
      </c>
      <c r="AE4" s="71">
        <f t="shared" si="20"/>
        <v>0.399</v>
      </c>
      <c r="AF4" s="271">
        <v>86.0</v>
      </c>
      <c r="AG4" s="261">
        <f t="shared" si="21"/>
        <v>3.5</v>
      </c>
      <c r="AH4" s="71">
        <f t="shared" si="22"/>
        <v>0.1925</v>
      </c>
      <c r="AI4" s="272">
        <v>0.87</v>
      </c>
      <c r="AJ4" s="274">
        <f t="shared" si="23"/>
        <v>2.531</v>
      </c>
    </row>
    <row r="5" ht="21.75" customHeight="1">
      <c r="A5" s="68" t="s">
        <v>119</v>
      </c>
      <c r="B5" s="260">
        <f>100%+'Period Tables'!I5</f>
        <v>0.7159853453</v>
      </c>
      <c r="C5" s="261">
        <f t="shared" si="1"/>
        <v>0</v>
      </c>
      <c r="D5" s="71">
        <f t="shared" si="2"/>
        <v>0</v>
      </c>
      <c r="E5" s="262">
        <f>100%+'Period Tables'!F5</f>
        <v>0.8586523126</v>
      </c>
      <c r="F5" s="261">
        <f t="shared" si="3"/>
        <v>0</v>
      </c>
      <c r="G5" s="71">
        <f t="shared" si="4"/>
        <v>0</v>
      </c>
      <c r="H5" s="263">
        <f>100%+'Period Tables'!V5</f>
        <v>0</v>
      </c>
      <c r="I5" s="261">
        <f t="shared" si="5"/>
        <v>0</v>
      </c>
      <c r="J5" s="71">
        <f t="shared" si="6"/>
        <v>0</v>
      </c>
      <c r="K5" s="264">
        <f>'Period Tables'!L5*100</f>
        <v>-2.1</v>
      </c>
      <c r="L5" s="261">
        <f t="shared" si="7"/>
        <v>5</v>
      </c>
      <c r="M5" s="71">
        <f t="shared" si="8"/>
        <v>0.525</v>
      </c>
      <c r="N5" s="265">
        <f>'Period Tables'!O5*100</f>
        <v>0.7</v>
      </c>
      <c r="O5" s="261">
        <f t="shared" si="9"/>
        <v>3.3</v>
      </c>
      <c r="P5" s="71">
        <f t="shared" si="10"/>
        <v>0.3465</v>
      </c>
      <c r="Q5" s="266">
        <f>'Period Tables'!E13</f>
        <v>3</v>
      </c>
      <c r="R5" s="261">
        <f t="shared" si="11"/>
        <v>0</v>
      </c>
      <c r="S5" s="71">
        <f t="shared" si="12"/>
        <v>0</v>
      </c>
      <c r="T5" s="267">
        <f>'Period Tables'!I21</f>
        <v>0.0264</v>
      </c>
      <c r="U5" s="261">
        <f t="shared" si="13"/>
        <v>2.7</v>
      </c>
      <c r="V5" s="71">
        <f t="shared" si="14"/>
        <v>0.2295</v>
      </c>
      <c r="W5" s="268">
        <f>'Period Tables'!H32</f>
        <v>0.59</v>
      </c>
      <c r="X5" s="261">
        <f t="shared" si="15"/>
        <v>5</v>
      </c>
      <c r="Y5" s="71">
        <f t="shared" si="16"/>
        <v>0.325</v>
      </c>
      <c r="Z5" s="269">
        <f>'Period Tables'!E21</f>
        <v>4.5</v>
      </c>
      <c r="AA5" s="261">
        <f t="shared" si="17"/>
        <v>4</v>
      </c>
      <c r="AB5" s="71">
        <f t="shared" si="18"/>
        <v>0.26</v>
      </c>
      <c r="AC5" s="270">
        <v>91.0</v>
      </c>
      <c r="AD5" s="261">
        <f t="shared" si="19"/>
        <v>4.4</v>
      </c>
      <c r="AE5" s="71">
        <f t="shared" si="20"/>
        <v>0.462</v>
      </c>
      <c r="AF5" s="271">
        <v>93.0</v>
      </c>
      <c r="AG5" s="261">
        <f t="shared" si="21"/>
        <v>4.8</v>
      </c>
      <c r="AH5" s="71">
        <f t="shared" si="22"/>
        <v>0.264</v>
      </c>
      <c r="AI5" s="272">
        <v>0.93</v>
      </c>
      <c r="AJ5" s="274">
        <f t="shared" si="23"/>
        <v>2.412</v>
      </c>
    </row>
    <row r="6" ht="21.75" customHeight="1">
      <c r="A6" s="68" t="s">
        <v>120</v>
      </c>
      <c r="B6" s="260">
        <f>100%+'Period Tables'!I6</f>
        <v>1.127917327</v>
      </c>
      <c r="C6" s="261">
        <f t="shared" si="1"/>
        <v>5</v>
      </c>
      <c r="D6" s="71">
        <f t="shared" si="2"/>
        <v>0.2</v>
      </c>
      <c r="E6" s="262">
        <f>100%+'Period Tables'!F6</f>
        <v>1.088530113</v>
      </c>
      <c r="F6" s="261">
        <f t="shared" si="3"/>
        <v>4.2</v>
      </c>
      <c r="G6" s="71">
        <f t="shared" si="4"/>
        <v>0.168</v>
      </c>
      <c r="H6" s="263">
        <f>100%+'Period Tables'!V6</f>
        <v>0</v>
      </c>
      <c r="I6" s="261">
        <f t="shared" si="5"/>
        <v>0</v>
      </c>
      <c r="J6" s="71">
        <f t="shared" si="6"/>
        <v>0</v>
      </c>
      <c r="K6" s="264">
        <f>'Period Tables'!L6*100</f>
        <v>-3</v>
      </c>
      <c r="L6" s="261">
        <f t="shared" si="7"/>
        <v>5</v>
      </c>
      <c r="M6" s="71">
        <f t="shared" si="8"/>
        <v>0.525</v>
      </c>
      <c r="N6" s="265">
        <f>'Period Tables'!O6*100</f>
        <v>1</v>
      </c>
      <c r="O6" s="261">
        <f t="shared" si="9"/>
        <v>3</v>
      </c>
      <c r="P6" s="71">
        <f t="shared" si="10"/>
        <v>0.315</v>
      </c>
      <c r="Q6" s="266">
        <f>'Period Tables'!E14</f>
        <v>4.33</v>
      </c>
      <c r="R6" s="261">
        <f t="shared" si="11"/>
        <v>3.2</v>
      </c>
      <c r="S6" s="71">
        <f t="shared" si="12"/>
        <v>0.672</v>
      </c>
      <c r="T6" s="267">
        <f>'Period Tables'!I22</f>
        <v>0.0315</v>
      </c>
      <c r="U6" s="261">
        <f t="shared" si="13"/>
        <v>2.4</v>
      </c>
      <c r="V6" s="71">
        <f t="shared" si="14"/>
        <v>0.204</v>
      </c>
      <c r="W6" s="268">
        <f>'Period Tables'!H33</f>
        <v>1.14</v>
      </c>
      <c r="X6" s="261">
        <f t="shared" si="15"/>
        <v>4.7</v>
      </c>
      <c r="Y6" s="71">
        <f t="shared" si="16"/>
        <v>0.3055</v>
      </c>
      <c r="Z6" s="269">
        <f>'Period Tables'!E22</f>
        <v>4.3</v>
      </c>
      <c r="AA6" s="261">
        <f t="shared" si="17"/>
        <v>3</v>
      </c>
      <c r="AB6" s="71">
        <f t="shared" si="18"/>
        <v>0.195</v>
      </c>
      <c r="AC6" s="270">
        <v>78.0</v>
      </c>
      <c r="AD6" s="261">
        <f t="shared" si="19"/>
        <v>2.4</v>
      </c>
      <c r="AE6" s="71">
        <f t="shared" si="20"/>
        <v>0.252</v>
      </c>
      <c r="AF6" s="271">
        <v>75.0</v>
      </c>
      <c r="AG6" s="261">
        <f t="shared" si="21"/>
        <v>2</v>
      </c>
      <c r="AH6" s="71">
        <f t="shared" si="22"/>
        <v>0.11</v>
      </c>
      <c r="AI6" s="272">
        <v>0.8</v>
      </c>
      <c r="AJ6" s="274">
        <f t="shared" si="23"/>
        <v>2.9465</v>
      </c>
    </row>
    <row r="7" ht="21.75" customHeight="1">
      <c r="A7" s="97" t="s">
        <v>121</v>
      </c>
      <c r="B7" s="260">
        <f>100%+'Period Tables'!I7</f>
        <v>0.8999248072</v>
      </c>
      <c r="C7" s="261">
        <f t="shared" si="1"/>
        <v>0</v>
      </c>
      <c r="D7" s="71">
        <f t="shared" si="2"/>
        <v>0</v>
      </c>
      <c r="E7" s="262">
        <f>100%+'Period Tables'!F7</f>
        <v>0.8220935645</v>
      </c>
      <c r="F7" s="261">
        <f t="shared" si="3"/>
        <v>0</v>
      </c>
      <c r="G7" s="71">
        <f t="shared" si="4"/>
        <v>0</v>
      </c>
      <c r="H7" s="263">
        <f>100%+'Period Tables'!V7</f>
        <v>0</v>
      </c>
      <c r="I7" s="261">
        <f t="shared" si="5"/>
        <v>0</v>
      </c>
      <c r="J7" s="71">
        <f t="shared" si="6"/>
        <v>0</v>
      </c>
      <c r="K7" s="264">
        <f>'Period Tables'!L7*100</f>
        <v>-1.4</v>
      </c>
      <c r="L7" s="261">
        <f t="shared" si="7"/>
        <v>5</v>
      </c>
      <c r="M7" s="71">
        <f t="shared" si="8"/>
        <v>0.525</v>
      </c>
      <c r="N7" s="265">
        <f>'Period Tables'!O7*100</f>
        <v>1.1</v>
      </c>
      <c r="O7" s="261">
        <f t="shared" si="9"/>
        <v>2.9</v>
      </c>
      <c r="P7" s="71">
        <f t="shared" si="10"/>
        <v>0.3045</v>
      </c>
      <c r="Q7" s="266">
        <f>'Period Tables'!E16</f>
        <v>4.47</v>
      </c>
      <c r="R7" s="261">
        <f t="shared" si="11"/>
        <v>3.9</v>
      </c>
      <c r="S7" s="71">
        <f t="shared" si="12"/>
        <v>0.819</v>
      </c>
      <c r="T7" s="267">
        <f>'Period Tables'!I24</f>
        <v>0.045</v>
      </c>
      <c r="U7" s="261">
        <f t="shared" si="13"/>
        <v>1.8</v>
      </c>
      <c r="V7" s="71">
        <f t="shared" si="14"/>
        <v>0.153</v>
      </c>
      <c r="W7" s="268">
        <f>'Period Tables'!H30</f>
        <v>2.03</v>
      </c>
      <c r="X7" s="261">
        <f t="shared" si="15"/>
        <v>3</v>
      </c>
      <c r="Y7" s="71">
        <f t="shared" si="16"/>
        <v>0.195</v>
      </c>
      <c r="Z7" s="269">
        <f>'Period Tables'!E24</f>
        <v>4.3</v>
      </c>
      <c r="AA7" s="261">
        <f t="shared" si="17"/>
        <v>3</v>
      </c>
      <c r="AB7" s="71">
        <f t="shared" si="18"/>
        <v>0.195</v>
      </c>
      <c r="AC7" s="270">
        <v>77.0</v>
      </c>
      <c r="AD7" s="261">
        <f t="shared" si="19"/>
        <v>2.3</v>
      </c>
      <c r="AE7" s="71">
        <f t="shared" si="20"/>
        <v>0.2415</v>
      </c>
      <c r="AF7" s="271">
        <v>74.0</v>
      </c>
      <c r="AG7" s="261">
        <f t="shared" si="21"/>
        <v>1.8</v>
      </c>
      <c r="AH7" s="71">
        <f t="shared" si="22"/>
        <v>0.099</v>
      </c>
      <c r="AI7" s="272">
        <v>0.78</v>
      </c>
      <c r="AJ7" s="275">
        <f t="shared" si="23"/>
        <v>2.532</v>
      </c>
    </row>
    <row r="8" ht="21.75" customHeight="1">
      <c r="A8" s="102" t="s">
        <v>122</v>
      </c>
      <c r="B8" s="276">
        <f>100%+'Period Tables'!I8</f>
        <v>0.8582946093</v>
      </c>
      <c r="C8" s="277">
        <f t="shared" si="1"/>
        <v>0</v>
      </c>
      <c r="D8" s="105">
        <f t="shared" si="2"/>
        <v>0</v>
      </c>
      <c r="E8" s="278">
        <f>100%+'Period Tables'!F8</f>
        <v>0.9403052886</v>
      </c>
      <c r="F8" s="277">
        <f t="shared" si="3"/>
        <v>0</v>
      </c>
      <c r="G8" s="105">
        <f t="shared" si="4"/>
        <v>0</v>
      </c>
      <c r="H8" s="279">
        <f>100%+'Period Tables'!V8</f>
        <v>0</v>
      </c>
      <c r="I8" s="277">
        <f t="shared" si="5"/>
        <v>0</v>
      </c>
      <c r="J8" s="105">
        <f t="shared" si="6"/>
        <v>0</v>
      </c>
      <c r="K8" s="280">
        <f>'Period Tables'!L8*100</f>
        <v>-1</v>
      </c>
      <c r="L8" s="277">
        <f t="shared" si="7"/>
        <v>5</v>
      </c>
      <c r="M8" s="105">
        <f t="shared" si="8"/>
        <v>0.525</v>
      </c>
      <c r="N8" s="281">
        <f>'Period Tables'!O8*100</f>
        <v>1.2</v>
      </c>
      <c r="O8" s="277">
        <f t="shared" si="9"/>
        <v>2.8</v>
      </c>
      <c r="P8" s="105">
        <f t="shared" si="10"/>
        <v>0.294</v>
      </c>
      <c r="Q8" s="282">
        <f>'Period Tables'!E17</f>
        <v>4.294</v>
      </c>
      <c r="R8" s="277">
        <f t="shared" si="11"/>
        <v>3</v>
      </c>
      <c r="S8" s="105">
        <f t="shared" si="12"/>
        <v>0.63</v>
      </c>
      <c r="T8" s="283">
        <f>'Period Tables'!I25</f>
        <v>0.03498</v>
      </c>
      <c r="U8" s="277">
        <f t="shared" si="13"/>
        <v>2.3</v>
      </c>
      <c r="V8" s="105">
        <f t="shared" si="14"/>
        <v>0.1955</v>
      </c>
      <c r="W8" s="284">
        <f>'Period Tables'!H35</f>
        <v>1.19</v>
      </c>
      <c r="X8" s="277">
        <f t="shared" si="15"/>
        <v>4.6</v>
      </c>
      <c r="Y8" s="105">
        <f t="shared" si="16"/>
        <v>0.299</v>
      </c>
      <c r="Z8" s="285">
        <f>'Period Tables'!E25</f>
        <v>4.3</v>
      </c>
      <c r="AA8" s="277">
        <f t="shared" si="17"/>
        <v>3</v>
      </c>
      <c r="AB8" s="105">
        <f t="shared" si="18"/>
        <v>0.195</v>
      </c>
      <c r="AC8" s="286">
        <f>AVERAGE(AC3:AC7)</f>
        <v>85.2</v>
      </c>
      <c r="AD8" s="277">
        <f t="shared" si="19"/>
        <v>3.4</v>
      </c>
      <c r="AE8" s="105">
        <f t="shared" si="20"/>
        <v>0.357</v>
      </c>
      <c r="AF8" s="286">
        <f>AVERAGE(AF3:AF7)</f>
        <v>83.6</v>
      </c>
      <c r="AG8" s="277">
        <f t="shared" si="21"/>
        <v>3.1</v>
      </c>
      <c r="AH8" s="105">
        <f t="shared" si="22"/>
        <v>0.1705</v>
      </c>
      <c r="AI8" s="287">
        <f>AVERAGE(AI3:AI7)</f>
        <v>0.846</v>
      </c>
      <c r="AJ8" s="288">
        <f t="shared" si="23"/>
        <v>2.666</v>
      </c>
    </row>
    <row r="9" ht="19.5" customHeight="1">
      <c r="A9" s="115" t="s">
        <v>123</v>
      </c>
      <c r="B9" s="116"/>
      <c r="C9" s="289">
        <f>'Scoring Matrix'!C42</f>
        <v>0.04</v>
      </c>
      <c r="D9" s="118"/>
      <c r="E9" s="116"/>
      <c r="F9" s="289">
        <f>'Scoring Matrix'!C44</f>
        <v>0.04</v>
      </c>
      <c r="G9" s="118"/>
      <c r="H9" s="116"/>
      <c r="I9" s="289">
        <f>'Scoring Matrix'!C46</f>
        <v>0.125</v>
      </c>
      <c r="J9" s="118"/>
      <c r="K9" s="116"/>
      <c r="L9" s="289">
        <f>'Scoring Matrix'!C48</f>
        <v>0.105</v>
      </c>
      <c r="M9" s="118"/>
      <c r="N9" s="116"/>
      <c r="O9" s="289">
        <f>'Scoring Matrix'!C50</f>
        <v>0.105</v>
      </c>
      <c r="P9" s="118"/>
      <c r="Q9" s="116"/>
      <c r="R9" s="289">
        <f>'Scoring Matrix'!C52</f>
        <v>0.21</v>
      </c>
      <c r="S9" s="118"/>
      <c r="T9" s="116"/>
      <c r="U9" s="289">
        <f>'Scoring Matrix'!C54</f>
        <v>0.085</v>
      </c>
      <c r="V9" s="118"/>
      <c r="W9" s="116"/>
      <c r="X9" s="289">
        <f>'Scoring Matrix'!C56</f>
        <v>0.065</v>
      </c>
      <c r="Y9" s="118"/>
      <c r="Z9" s="116"/>
      <c r="AA9" s="289">
        <f>'Scoring Matrix'!C58</f>
        <v>0.065</v>
      </c>
      <c r="AB9" s="118"/>
      <c r="AC9" s="116"/>
      <c r="AD9" s="289">
        <f>'Scoring Matrix'!C60</f>
        <v>0.105</v>
      </c>
      <c r="AE9" s="118"/>
      <c r="AF9" s="116"/>
      <c r="AG9" s="289">
        <f>'Scoring Matrix'!C62</f>
        <v>0.055</v>
      </c>
      <c r="AH9" s="118"/>
      <c r="AI9" s="290"/>
      <c r="AJ9" s="123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1" t="s">
        <v>125</v>
      </c>
      <c r="B1" s="291" t="s">
        <v>10</v>
      </c>
      <c r="C1" s="291" t="s">
        <v>115</v>
      </c>
      <c r="D1" s="292" t="s">
        <v>116</v>
      </c>
      <c r="E1" s="291" t="s">
        <v>17</v>
      </c>
      <c r="F1" s="291" t="s">
        <v>115</v>
      </c>
      <c r="G1" s="292" t="s">
        <v>116</v>
      </c>
      <c r="H1" s="291" t="s">
        <v>25</v>
      </c>
      <c r="I1" s="291" t="s">
        <v>115</v>
      </c>
      <c r="J1" s="291" t="s">
        <v>116</v>
      </c>
      <c r="K1" s="293" t="s">
        <v>129</v>
      </c>
      <c r="L1" s="291" t="s">
        <v>115</v>
      </c>
      <c r="M1" s="291" t="s">
        <v>116</v>
      </c>
      <c r="N1" s="293" t="s">
        <v>130</v>
      </c>
      <c r="O1" s="291" t="s">
        <v>115</v>
      </c>
      <c r="P1" s="291" t="s">
        <v>116</v>
      </c>
      <c r="Q1" s="291" t="s">
        <v>43</v>
      </c>
      <c r="R1" s="291" t="s">
        <v>115</v>
      </c>
      <c r="S1" s="291" t="s">
        <v>116</v>
      </c>
      <c r="T1" s="291" t="s">
        <v>50</v>
      </c>
      <c r="U1" s="291" t="s">
        <v>115</v>
      </c>
      <c r="V1" s="291" t="s">
        <v>116</v>
      </c>
      <c r="W1" s="291" t="s">
        <v>51</v>
      </c>
      <c r="X1" s="291" t="s">
        <v>115</v>
      </c>
      <c r="Y1" s="291" t="s">
        <v>116</v>
      </c>
      <c r="Z1" s="294" t="s">
        <v>58</v>
      </c>
      <c r="AA1" s="291" t="s">
        <v>115</v>
      </c>
      <c r="AB1" s="291" t="s">
        <v>116</v>
      </c>
      <c r="AC1" s="291" t="s">
        <v>65</v>
      </c>
      <c r="AD1" s="291" t="s">
        <v>115</v>
      </c>
      <c r="AE1" s="291" t="s">
        <v>116</v>
      </c>
      <c r="AF1" s="291" t="s">
        <v>66</v>
      </c>
      <c r="AG1" s="291" t="s">
        <v>115</v>
      </c>
      <c r="AH1" s="291" t="s">
        <v>116</v>
      </c>
      <c r="AI1" s="291" t="s">
        <v>73</v>
      </c>
      <c r="AJ1" s="291" t="s">
        <v>115</v>
      </c>
      <c r="AK1" s="291" t="s">
        <v>116</v>
      </c>
      <c r="AL1" s="291" t="s">
        <v>131</v>
      </c>
      <c r="AM1" s="291" t="s">
        <v>115</v>
      </c>
      <c r="AN1" s="291" t="s">
        <v>116</v>
      </c>
      <c r="AO1" s="291" t="s">
        <v>132</v>
      </c>
      <c r="AP1" s="291" t="s">
        <v>133</v>
      </c>
      <c r="AQ1" s="177"/>
      <c r="AR1" s="177"/>
      <c r="AS1" s="177"/>
      <c r="AT1" s="177"/>
      <c r="AU1" s="177"/>
    </row>
    <row r="2">
      <c r="A2" s="295" t="s">
        <v>117</v>
      </c>
      <c r="B2" s="296">
        <f>100%+'Period Tables'!I3</f>
        <v>0.9091627355</v>
      </c>
      <c r="C2" s="297">
        <f t="shared" ref="C2:C6" si="1">IFS(B2="", "", B2&lt;90%,0, B2&lt;95%,1, B2&lt;=98%,2, B2&lt;=101%,3, B2&lt;=105%,4, TRUE,5)</f>
        <v>1</v>
      </c>
      <c r="D2" s="298">
        <f t="shared" ref="D2:D6" si="2">IF(C2="","",C2*5/100)</f>
        <v>0.05</v>
      </c>
      <c r="E2" s="299">
        <f>100%+'Period Tables'!F3</f>
        <v>1.053592755</v>
      </c>
      <c r="F2" s="300">
        <f t="shared" ref="F2:F6" si="3">IFS(E2="", "", E2&lt;90%,0, E2&lt;95%,1, E2&lt;=98%,2, E2&lt;=101%,3, E2&lt;=105%,4, TRUE,5)</f>
        <v>5</v>
      </c>
      <c r="G2" s="301">
        <f t="shared" ref="G2:G6" si="4">IF(F2="","",F2*5/100)</f>
        <v>0.25</v>
      </c>
      <c r="H2" s="302">
        <f>100%+'Period Tables'!V3</f>
        <v>0</v>
      </c>
      <c r="I2" s="303">
        <f t="shared" ref="I2:I6" si="5">IFS(H2="", "", H2&lt;75%,0, H2&lt;85%,1, H2&lt;95%,2, H2&lt;=100%,3, H2&lt;=105%,4, TRUE,5)</f>
        <v>0</v>
      </c>
      <c r="J2" s="304">
        <f t="shared" ref="J2:J6" si="6">IF(I2="","",I2*15/100)</f>
        <v>0</v>
      </c>
      <c r="K2" s="305">
        <f>'Period Tables'!L3*100</f>
        <v>-2.6</v>
      </c>
      <c r="L2" s="300">
        <f t="shared" ref="L2:L6" si="7">IFS(K2="", "", K2&gt;=3,0, K2&gt;=2,1, K2&gt;=1,2, K2&gt;=0,3, K2&lt;=-1,5, K2&lt;=-0.5,4, TRUE,3)</f>
        <v>5</v>
      </c>
      <c r="M2" s="306">
        <f t="shared" ref="M2:M6" si="8">IF(L2="","",L2*12.5/100)</f>
        <v>0.625</v>
      </c>
      <c r="N2" s="307">
        <f>'Period Tables'!O3*100</f>
        <v>1.4</v>
      </c>
      <c r="O2" s="297">
        <f t="shared" ref="O2:O6" si="9">IFS(N2="", "", N2&gt;=3,0, N2&gt;=2,1, N2&gt;=1,2, N2&gt;=0,3, N2&lt;=-1,5, N2&lt;=-0.5,4, TRUE,3)</f>
        <v>2</v>
      </c>
      <c r="P2" s="308">
        <f t="shared" ref="P2:P6" si="10">IF(O2="","",O2*12.5/100)</f>
        <v>0.25</v>
      </c>
      <c r="Q2" s="309">
        <f>'Period Tables'!H12</f>
        <v>5</v>
      </c>
      <c r="R2" s="297">
        <f t="shared" ref="R2:R6" si="11">IFS(Q2="", "", Q2="NA","" ,Q2&lt;3.8,0, Q2&lt;4,1, Q2&lt;4.3,2, Q2&lt;4.5,3, Q2&lt;4.7,4, TRUE,5)</f>
        <v>5</v>
      </c>
      <c r="S2" s="306">
        <f t="shared" ref="S2:S6" si="12">IF(R2="","",R2*17.5/100)</f>
        <v>0.875</v>
      </c>
      <c r="T2" s="310" t="str">
        <f>'Period Tables'!F12</f>
        <v>NA</v>
      </c>
      <c r="U2" s="297" t="str">
        <f t="shared" ref="U2:U6" si="13">IFS(T2="", "", T2="NA","" ,T2&lt;3.8,0, T2&lt;4,1, T2&lt;4.3,2, T2&lt;4.5,3, T2&lt;4.7,4, TRUE,5)</f>
        <v/>
      </c>
      <c r="V2" s="308" t="str">
        <f t="shared" ref="V2:V6" si="14">IF(U2="","",U2*7.5/100)</f>
        <v/>
      </c>
      <c r="W2" s="311">
        <f>'Period Tables'!I20</f>
        <v>0.0405</v>
      </c>
      <c r="X2" s="300">
        <f t="shared" ref="X2:X6" si="15">IFS(W2="", "", W2&gt;6%,0, W2&gt;4%,1, W2&gt;2%,2, W2&gt;1.5%,3, W2&gt;1%,4, TRUE,5)</f>
        <v>1</v>
      </c>
      <c r="Y2" s="306">
        <f t="shared" ref="Y2:Y6" si="16">IF(X2="","",X2*10/100)</f>
        <v>0.1</v>
      </c>
      <c r="Z2" s="312">
        <f>'Period Tables'!H31</f>
        <v>0.57</v>
      </c>
      <c r="AA2" s="297">
        <f t="shared" ref="AA2:AA6" si="17">IFS(Z2="","", VALUE(Z2)&gt;8,0, VALUE(Z2)&gt;5,1, VALUE(Z2)&gt;2,2, VALUE(Z2)&gt;1.5,3, VALUE(Z2)&gt;1,4, TRUE,5)</f>
        <v>5</v>
      </c>
      <c r="AB2" s="308">
        <f t="shared" ref="AB2:AB6" si="18">IF(AA2="","",AA2*7.5/100)</f>
        <v>0.375</v>
      </c>
      <c r="AC2" s="313">
        <f>'Period Tables'!E20</f>
        <v>4</v>
      </c>
      <c r="AD2" s="300">
        <f t="shared" ref="AD2:AD6" si="19">IFS(AC2="", "", AC2&lt;3.8,0, AC2&lt;4,1, AC2&lt;4.3,2, AC2&lt;4.5,3, AC2&lt;4.7,4, TRUE,5)</f>
        <v>2</v>
      </c>
      <c r="AE2" s="306">
        <f t="shared" ref="AE2:AE6" si="20">IF(AD2="","",AD2*7.5/100)</f>
        <v>0.15</v>
      </c>
      <c r="AF2" s="314">
        <v>86.0</v>
      </c>
      <c r="AG2" s="297">
        <f t="shared" ref="AG2:AG6" si="21">IFS(AF2="", "", AF2&lt;70,0, AF2&lt;75,1, AF2&lt;83,2, AF2&lt;89,3, AF2&lt;94,4, TRUE,5)</f>
        <v>3</v>
      </c>
      <c r="AH2" s="308">
        <f t="shared" ref="AH2:AH6" si="22">IF(AG2="","",AG2*12.5/100)</f>
        <v>0.375</v>
      </c>
      <c r="AI2" s="315">
        <v>90.0</v>
      </c>
      <c r="AJ2" s="300">
        <f t="shared" ref="AJ2:AJ6" si="23">IFS(AI2="", "", AI2&lt;70,0, AI2&lt;75,1, AI2&lt;83,2, AI2&lt;89,3, AI2&lt;94,4, TRUE,5)</f>
        <v>4</v>
      </c>
      <c r="AK2" s="306">
        <f t="shared" ref="AK2:AK6" si="24">IF(AJ2="","",AJ2*6.25/100)</f>
        <v>0.25</v>
      </c>
      <c r="AL2" s="314">
        <v>95.0</v>
      </c>
      <c r="AM2" s="297">
        <f t="shared" ref="AM2:AM6" si="25">IFS(AL2="", "", AL2&lt;70,0, AL2&lt;75,1, AL2&lt;83,2, AL2&lt;89,3, AL2&lt;94,4, TRUE,5)</f>
        <v>5</v>
      </c>
      <c r="AN2" s="308">
        <f t="shared" ref="AN2:AN6" si="26">IF(AM2="","",AM2*6.25/100)</f>
        <v>0.3125</v>
      </c>
      <c r="AO2" s="316">
        <v>85.0</v>
      </c>
      <c r="AP2" s="317">
        <f t="shared" ref="AP2:AP6" si="27">SUM(D2,G2,J2,M2,P2,S2,V2,Y2,AB2,AE2,AH2,AK2,AN2)</f>
        <v>3.6125</v>
      </c>
      <c r="AQ2" s="177"/>
      <c r="AR2" s="202"/>
      <c r="AS2" s="177"/>
      <c r="AT2" s="203"/>
      <c r="AU2" s="203"/>
    </row>
    <row r="3">
      <c r="A3" s="295" t="s">
        <v>118</v>
      </c>
      <c r="B3" s="318">
        <f>100%+'Period Tables'!I4</f>
        <v>0.8022075244</v>
      </c>
      <c r="C3" s="319">
        <f t="shared" si="1"/>
        <v>0</v>
      </c>
      <c r="D3" s="320">
        <f t="shared" si="2"/>
        <v>0</v>
      </c>
      <c r="E3" s="321">
        <f>100%+'Period Tables'!F4</f>
        <v>0.991307091</v>
      </c>
      <c r="F3" s="322">
        <f t="shared" si="3"/>
        <v>3</v>
      </c>
      <c r="G3" s="323">
        <f t="shared" si="4"/>
        <v>0.15</v>
      </c>
      <c r="H3" s="324">
        <f>100%+'Period Tables'!V4</f>
        <v>0</v>
      </c>
      <c r="I3" s="325">
        <f t="shared" si="5"/>
        <v>0</v>
      </c>
      <c r="J3" s="326">
        <f t="shared" si="6"/>
        <v>0</v>
      </c>
      <c r="K3" s="327">
        <f>'Period Tables'!L4*100</f>
        <v>3.5</v>
      </c>
      <c r="L3" s="322">
        <f t="shared" si="7"/>
        <v>0</v>
      </c>
      <c r="M3" s="328">
        <f t="shared" si="8"/>
        <v>0</v>
      </c>
      <c r="N3" s="329">
        <f>'Period Tables'!O4*100</f>
        <v>2.6</v>
      </c>
      <c r="O3" s="319">
        <f t="shared" si="9"/>
        <v>1</v>
      </c>
      <c r="P3" s="330">
        <f t="shared" si="10"/>
        <v>0.125</v>
      </c>
      <c r="Q3" s="331">
        <f>'Period Tables'!H15</f>
        <v>4.75</v>
      </c>
      <c r="R3" s="319">
        <f t="shared" si="11"/>
        <v>5</v>
      </c>
      <c r="S3" s="328">
        <f t="shared" si="12"/>
        <v>0.875</v>
      </c>
      <c r="T3" s="332">
        <f>'Period Tables'!F15</f>
        <v>4</v>
      </c>
      <c r="U3" s="319">
        <f t="shared" si="13"/>
        <v>2</v>
      </c>
      <c r="V3" s="330">
        <f t="shared" si="14"/>
        <v>0.15</v>
      </c>
      <c r="W3" s="333">
        <f>'Period Tables'!I23</f>
        <v>0.0315</v>
      </c>
      <c r="X3" s="322">
        <f t="shared" si="15"/>
        <v>2</v>
      </c>
      <c r="Y3" s="328">
        <f t="shared" si="16"/>
        <v>0.2</v>
      </c>
      <c r="Z3" s="334">
        <f>'Period Tables'!H34</f>
        <v>1.48</v>
      </c>
      <c r="AA3" s="319">
        <f t="shared" si="17"/>
        <v>4</v>
      </c>
      <c r="AB3" s="330">
        <f t="shared" si="18"/>
        <v>0.3</v>
      </c>
      <c r="AC3" s="335">
        <f>'Period Tables'!E23</f>
        <v>4.4</v>
      </c>
      <c r="AD3" s="322">
        <f t="shared" si="19"/>
        <v>3</v>
      </c>
      <c r="AE3" s="328">
        <f t="shared" si="20"/>
        <v>0.225</v>
      </c>
      <c r="AF3" s="336">
        <v>67.0</v>
      </c>
      <c r="AG3" s="319">
        <f t="shared" si="21"/>
        <v>0</v>
      </c>
      <c r="AH3" s="330">
        <f t="shared" si="22"/>
        <v>0</v>
      </c>
      <c r="AI3" s="337">
        <v>70.0</v>
      </c>
      <c r="AJ3" s="322">
        <f t="shared" si="23"/>
        <v>1</v>
      </c>
      <c r="AK3" s="328">
        <f t="shared" si="24"/>
        <v>0.0625</v>
      </c>
      <c r="AL3" s="336">
        <v>76.0</v>
      </c>
      <c r="AM3" s="319">
        <f t="shared" si="25"/>
        <v>2</v>
      </c>
      <c r="AN3" s="330">
        <f t="shared" si="26"/>
        <v>0.125</v>
      </c>
      <c r="AO3" s="338">
        <v>87.0</v>
      </c>
      <c r="AP3" s="317">
        <f t="shared" si="27"/>
        <v>2.2125</v>
      </c>
      <c r="AQ3" s="177"/>
      <c r="AR3" s="202"/>
      <c r="AS3" s="177"/>
      <c r="AT3" s="203"/>
      <c r="AU3" s="203"/>
    </row>
    <row r="4">
      <c r="A4" s="295" t="s">
        <v>119</v>
      </c>
      <c r="B4" s="318">
        <f>100%+'Period Tables'!I5</f>
        <v>0.7159853453</v>
      </c>
      <c r="C4" s="319">
        <f t="shared" si="1"/>
        <v>0</v>
      </c>
      <c r="D4" s="320">
        <f t="shared" si="2"/>
        <v>0</v>
      </c>
      <c r="E4" s="321">
        <f>100%+'Period Tables'!F5</f>
        <v>0.8586523126</v>
      </c>
      <c r="F4" s="322">
        <f t="shared" si="3"/>
        <v>0</v>
      </c>
      <c r="G4" s="323">
        <f t="shared" si="4"/>
        <v>0</v>
      </c>
      <c r="H4" s="324">
        <f>100%+'Period Tables'!V5</f>
        <v>0</v>
      </c>
      <c r="I4" s="325">
        <f t="shared" si="5"/>
        <v>0</v>
      </c>
      <c r="J4" s="326">
        <f t="shared" si="6"/>
        <v>0</v>
      </c>
      <c r="K4" s="327">
        <f>'Period Tables'!L5*100</f>
        <v>-2.1</v>
      </c>
      <c r="L4" s="322">
        <f t="shared" si="7"/>
        <v>5</v>
      </c>
      <c r="M4" s="328">
        <f t="shared" si="8"/>
        <v>0.625</v>
      </c>
      <c r="N4" s="329">
        <f>'Period Tables'!O5*100</f>
        <v>0.7</v>
      </c>
      <c r="O4" s="319">
        <f t="shared" si="9"/>
        <v>3</v>
      </c>
      <c r="P4" s="330">
        <f t="shared" si="10"/>
        <v>0.375</v>
      </c>
      <c r="Q4" s="331">
        <f>'Period Tables'!H13</f>
        <v>3.67</v>
      </c>
      <c r="R4" s="319">
        <f t="shared" si="11"/>
        <v>0</v>
      </c>
      <c r="S4" s="328">
        <f t="shared" si="12"/>
        <v>0</v>
      </c>
      <c r="T4" s="332">
        <f>'Period Tables'!F13</f>
        <v>1</v>
      </c>
      <c r="U4" s="319">
        <f t="shared" si="13"/>
        <v>0</v>
      </c>
      <c r="V4" s="330">
        <f t="shared" si="14"/>
        <v>0</v>
      </c>
      <c r="W4" s="333">
        <f>'Period Tables'!I21</f>
        <v>0.0264</v>
      </c>
      <c r="X4" s="322">
        <f t="shared" si="15"/>
        <v>2</v>
      </c>
      <c r="Y4" s="328">
        <f t="shared" si="16"/>
        <v>0.2</v>
      </c>
      <c r="Z4" s="334">
        <f>'Period Tables'!H32</f>
        <v>0.59</v>
      </c>
      <c r="AA4" s="319">
        <f t="shared" si="17"/>
        <v>5</v>
      </c>
      <c r="AB4" s="330">
        <f t="shared" si="18"/>
        <v>0.375</v>
      </c>
      <c r="AC4" s="335">
        <f>'Period Tables'!E21</f>
        <v>4.5</v>
      </c>
      <c r="AD4" s="322">
        <f t="shared" si="19"/>
        <v>4</v>
      </c>
      <c r="AE4" s="328">
        <f t="shared" si="20"/>
        <v>0.3</v>
      </c>
      <c r="AF4" s="336">
        <v>72.0</v>
      </c>
      <c r="AG4" s="319">
        <f t="shared" si="21"/>
        <v>1</v>
      </c>
      <c r="AH4" s="330">
        <f t="shared" si="22"/>
        <v>0.125</v>
      </c>
      <c r="AI4" s="337">
        <v>76.0</v>
      </c>
      <c r="AJ4" s="322">
        <f t="shared" si="23"/>
        <v>2</v>
      </c>
      <c r="AK4" s="328">
        <f t="shared" si="24"/>
        <v>0.125</v>
      </c>
      <c r="AL4" s="336">
        <v>78.0</v>
      </c>
      <c r="AM4" s="319">
        <f t="shared" si="25"/>
        <v>2</v>
      </c>
      <c r="AN4" s="330">
        <f t="shared" si="26"/>
        <v>0.125</v>
      </c>
      <c r="AO4" s="338">
        <v>93.0</v>
      </c>
      <c r="AP4" s="317">
        <f t="shared" si="27"/>
        <v>2.25</v>
      </c>
      <c r="AQ4" s="177"/>
      <c r="AR4" s="202"/>
      <c r="AS4" s="177"/>
      <c r="AT4" s="203"/>
      <c r="AU4" s="203"/>
    </row>
    <row r="5">
      <c r="A5" s="295" t="s">
        <v>120</v>
      </c>
      <c r="B5" s="318">
        <f>100%+'Period Tables'!I6</f>
        <v>1.127917327</v>
      </c>
      <c r="C5" s="319">
        <f t="shared" si="1"/>
        <v>5</v>
      </c>
      <c r="D5" s="320">
        <f t="shared" si="2"/>
        <v>0.25</v>
      </c>
      <c r="E5" s="321">
        <f>100%+'Period Tables'!F6</f>
        <v>1.088530113</v>
      </c>
      <c r="F5" s="322">
        <f t="shared" si="3"/>
        <v>5</v>
      </c>
      <c r="G5" s="323">
        <f t="shared" si="4"/>
        <v>0.25</v>
      </c>
      <c r="H5" s="324">
        <f>100%+'Period Tables'!V6</f>
        <v>0</v>
      </c>
      <c r="I5" s="325">
        <f t="shared" si="5"/>
        <v>0</v>
      </c>
      <c r="J5" s="326">
        <f t="shared" si="6"/>
        <v>0</v>
      </c>
      <c r="K5" s="327">
        <f>'Period Tables'!L6*100</f>
        <v>-3</v>
      </c>
      <c r="L5" s="322">
        <f t="shared" si="7"/>
        <v>5</v>
      </c>
      <c r="M5" s="328">
        <f t="shared" si="8"/>
        <v>0.625</v>
      </c>
      <c r="N5" s="329">
        <f>'Period Tables'!O6*100</f>
        <v>1</v>
      </c>
      <c r="O5" s="319">
        <f t="shared" si="9"/>
        <v>2</v>
      </c>
      <c r="P5" s="330">
        <f t="shared" si="10"/>
        <v>0.25</v>
      </c>
      <c r="Q5" s="331">
        <f>'Period Tables'!H14</f>
        <v>4.33</v>
      </c>
      <c r="R5" s="319">
        <f t="shared" si="11"/>
        <v>3</v>
      </c>
      <c r="S5" s="328">
        <f t="shared" si="12"/>
        <v>0.525</v>
      </c>
      <c r="T5" s="332" t="str">
        <f>'Period Tables'!F14</f>
        <v>NA</v>
      </c>
      <c r="U5" s="319" t="str">
        <f t="shared" si="13"/>
        <v/>
      </c>
      <c r="V5" s="330" t="str">
        <f t="shared" si="14"/>
        <v/>
      </c>
      <c r="W5" s="333">
        <f>'Period Tables'!I22</f>
        <v>0.0315</v>
      </c>
      <c r="X5" s="322">
        <f t="shared" si="15"/>
        <v>2</v>
      </c>
      <c r="Y5" s="328">
        <f t="shared" si="16"/>
        <v>0.2</v>
      </c>
      <c r="Z5" s="334">
        <f>'Period Tables'!H33</f>
        <v>1.14</v>
      </c>
      <c r="AA5" s="319">
        <f t="shared" si="17"/>
        <v>4</v>
      </c>
      <c r="AB5" s="330">
        <f t="shared" si="18"/>
        <v>0.3</v>
      </c>
      <c r="AC5" s="335">
        <f>'Period Tables'!E22</f>
        <v>4.3</v>
      </c>
      <c r="AD5" s="322">
        <f t="shared" si="19"/>
        <v>3</v>
      </c>
      <c r="AE5" s="328">
        <f t="shared" si="20"/>
        <v>0.225</v>
      </c>
      <c r="AF5" s="336">
        <v>70.0</v>
      </c>
      <c r="AG5" s="319">
        <f t="shared" si="21"/>
        <v>1</v>
      </c>
      <c r="AH5" s="330">
        <f t="shared" si="22"/>
        <v>0.125</v>
      </c>
      <c r="AI5" s="337">
        <v>75.0</v>
      </c>
      <c r="AJ5" s="322">
        <f t="shared" si="23"/>
        <v>2</v>
      </c>
      <c r="AK5" s="328">
        <f t="shared" si="24"/>
        <v>0.125</v>
      </c>
      <c r="AL5" s="336">
        <v>71.0</v>
      </c>
      <c r="AM5" s="319">
        <f t="shared" si="25"/>
        <v>1</v>
      </c>
      <c r="AN5" s="330">
        <f t="shared" si="26"/>
        <v>0.0625</v>
      </c>
      <c r="AO5" s="339">
        <v>80.0</v>
      </c>
      <c r="AP5" s="317">
        <f t="shared" si="27"/>
        <v>2.9375</v>
      </c>
      <c r="AQ5" s="177"/>
      <c r="AR5" s="202"/>
      <c r="AS5" s="177"/>
      <c r="AT5" s="203"/>
      <c r="AU5" s="203"/>
    </row>
    <row r="6">
      <c r="A6" s="295" t="s">
        <v>121</v>
      </c>
      <c r="B6" s="340">
        <f>100%+'Period Tables'!I7</f>
        <v>0.8999248072</v>
      </c>
      <c r="C6" s="341">
        <f t="shared" si="1"/>
        <v>0</v>
      </c>
      <c r="D6" s="342">
        <f t="shared" si="2"/>
        <v>0</v>
      </c>
      <c r="E6" s="343">
        <f>100%+'Period Tables'!F7</f>
        <v>0.8220935645</v>
      </c>
      <c r="F6" s="344">
        <f t="shared" si="3"/>
        <v>0</v>
      </c>
      <c r="G6" s="345">
        <f t="shared" si="4"/>
        <v>0</v>
      </c>
      <c r="H6" s="346">
        <f>100%+'Period Tables'!V7</f>
        <v>0</v>
      </c>
      <c r="I6" s="347">
        <f t="shared" si="5"/>
        <v>0</v>
      </c>
      <c r="J6" s="348">
        <f t="shared" si="6"/>
        <v>0</v>
      </c>
      <c r="K6" s="349">
        <f>'Period Tables'!L7*100</f>
        <v>-1.4</v>
      </c>
      <c r="L6" s="344">
        <f t="shared" si="7"/>
        <v>5</v>
      </c>
      <c r="M6" s="350">
        <f t="shared" si="8"/>
        <v>0.625</v>
      </c>
      <c r="N6" s="351">
        <f>'Period Tables'!O7*100</f>
        <v>1.1</v>
      </c>
      <c r="O6" s="341">
        <f t="shared" si="9"/>
        <v>2</v>
      </c>
      <c r="P6" s="352">
        <f t="shared" si="10"/>
        <v>0.25</v>
      </c>
      <c r="Q6" s="353">
        <f>'Period Tables'!H16</f>
        <v>4.47</v>
      </c>
      <c r="R6" s="341">
        <f t="shared" si="11"/>
        <v>3</v>
      </c>
      <c r="S6" s="350">
        <f t="shared" si="12"/>
        <v>0.525</v>
      </c>
      <c r="T6" s="354" t="str">
        <f>'Period Tables'!F16</f>
        <v>NA</v>
      </c>
      <c r="U6" s="341" t="str">
        <f t="shared" si="13"/>
        <v/>
      </c>
      <c r="V6" s="352" t="str">
        <f t="shared" si="14"/>
        <v/>
      </c>
      <c r="W6" s="355">
        <f>'Period Tables'!I24</f>
        <v>0.045</v>
      </c>
      <c r="X6" s="344">
        <f t="shared" si="15"/>
        <v>1</v>
      </c>
      <c r="Y6" s="350">
        <f t="shared" si="16"/>
        <v>0.1</v>
      </c>
      <c r="Z6" s="356">
        <f>'Period Tables'!H30</f>
        <v>2.03</v>
      </c>
      <c r="AA6" s="341">
        <f t="shared" si="17"/>
        <v>2</v>
      </c>
      <c r="AB6" s="352">
        <f t="shared" si="18"/>
        <v>0.15</v>
      </c>
      <c r="AC6" s="357">
        <f>'Period Tables'!E24</f>
        <v>4.3</v>
      </c>
      <c r="AD6" s="344">
        <f t="shared" si="19"/>
        <v>3</v>
      </c>
      <c r="AE6" s="350">
        <f t="shared" si="20"/>
        <v>0.225</v>
      </c>
      <c r="AF6" s="358">
        <v>56.0</v>
      </c>
      <c r="AG6" s="341">
        <f t="shared" si="21"/>
        <v>0</v>
      </c>
      <c r="AH6" s="352">
        <f t="shared" si="22"/>
        <v>0</v>
      </c>
      <c r="AI6" s="359">
        <v>60.0</v>
      </c>
      <c r="AJ6" s="344">
        <f t="shared" si="23"/>
        <v>0</v>
      </c>
      <c r="AK6" s="350">
        <f t="shared" si="24"/>
        <v>0</v>
      </c>
      <c r="AL6" s="358">
        <v>60.0</v>
      </c>
      <c r="AM6" s="341">
        <f t="shared" si="25"/>
        <v>0</v>
      </c>
      <c r="AN6" s="352">
        <f t="shared" si="26"/>
        <v>0</v>
      </c>
      <c r="AO6" s="360">
        <v>78.0</v>
      </c>
      <c r="AP6" s="317">
        <f t="shared" si="27"/>
        <v>1.875</v>
      </c>
      <c r="AQ6" s="177"/>
      <c r="AR6" s="202"/>
      <c r="AS6" s="177"/>
      <c r="AT6" s="203"/>
      <c r="AU6" s="203"/>
    </row>
    <row r="7">
      <c r="D7" s="243"/>
      <c r="G7" s="243"/>
      <c r="K7" s="244"/>
      <c r="N7" s="244"/>
      <c r="T7" s="245"/>
      <c r="Z7" s="361" t="str">
        <f>'Period Tables'!K36</f>
        <v/>
      </c>
    </row>
    <row r="8">
      <c r="D8" s="243"/>
      <c r="G8" s="243"/>
      <c r="K8" s="362"/>
      <c r="N8" s="244"/>
      <c r="T8" s="245"/>
      <c r="Z8" s="361" t="str">
        <f>'Period Tables'!K39</f>
        <v/>
      </c>
    </row>
    <row r="9">
      <c r="D9" s="243"/>
      <c r="G9" s="243"/>
      <c r="K9" s="244"/>
      <c r="N9" s="244"/>
      <c r="T9" s="245"/>
      <c r="Z9" s="361" t="str">
        <f>'Period Tables'!K37</f>
        <v/>
      </c>
    </row>
    <row r="10">
      <c r="D10" s="243"/>
      <c r="G10" s="243"/>
      <c r="K10" s="244"/>
      <c r="N10" s="244"/>
      <c r="T10" s="245"/>
      <c r="Z10" s="361" t="str">
        <f>'Period Tables'!K38</f>
        <v/>
      </c>
    </row>
    <row r="11">
      <c r="D11" s="243"/>
      <c r="G11" s="243"/>
      <c r="K11" s="244"/>
      <c r="N11" s="244"/>
      <c r="T11" s="245"/>
      <c r="Z11" s="361" t="str">
        <f>'Period Tables'!K35</f>
        <v/>
      </c>
    </row>
    <row r="12">
      <c r="D12" s="243"/>
      <c r="G12" s="243"/>
      <c r="K12" s="244"/>
      <c r="N12" s="244"/>
      <c r="T12" s="245"/>
      <c r="Z12" s="361" t="str">
        <f>'Period Tables'!K41</f>
        <v/>
      </c>
    </row>
    <row r="13">
      <c r="D13" s="243"/>
      <c r="G13" s="243"/>
      <c r="K13" s="244"/>
      <c r="N13" s="244"/>
      <c r="T13" s="245"/>
      <c r="Z13" s="361" t="str">
        <f>'Period Tables'!K42</f>
        <v/>
      </c>
    </row>
    <row r="14">
      <c r="D14" s="243"/>
      <c r="G14" s="243"/>
      <c r="K14" s="244"/>
      <c r="N14" s="244"/>
      <c r="T14" s="245"/>
      <c r="Z14" s="361" t="str">
        <f>'Period Tables'!K45</f>
        <v/>
      </c>
    </row>
    <row r="15">
      <c r="D15" s="243"/>
      <c r="G15" s="243"/>
      <c r="K15" s="244"/>
      <c r="N15" s="244"/>
      <c r="T15" s="245"/>
      <c r="Z15" s="361" t="str">
        <f>'Period Tables'!K43</f>
        <v/>
      </c>
    </row>
    <row r="16">
      <c r="D16" s="243"/>
      <c r="G16" s="243"/>
      <c r="K16" s="244"/>
      <c r="N16" s="244"/>
      <c r="T16" s="245"/>
      <c r="Z16" s="361" t="str">
        <f>'Period Tables'!K44</f>
        <v/>
      </c>
    </row>
    <row r="17">
      <c r="D17" s="243"/>
      <c r="G17" s="243"/>
      <c r="K17" s="244"/>
      <c r="N17" s="244"/>
      <c r="T17" s="245"/>
      <c r="Z17" s="361" t="str">
        <f>'Period Tables'!K41</f>
        <v/>
      </c>
    </row>
    <row r="18">
      <c r="D18" s="243"/>
      <c r="G18" s="243"/>
      <c r="K18" s="244"/>
      <c r="N18" s="244"/>
      <c r="T18" s="245"/>
      <c r="Z18" s="246"/>
    </row>
    <row r="19">
      <c r="D19" s="243"/>
      <c r="G19" s="243"/>
      <c r="K19" s="244"/>
      <c r="N19" s="244"/>
      <c r="T19" s="245"/>
      <c r="Z19" s="246"/>
    </row>
    <row r="20">
      <c r="D20" s="243"/>
      <c r="G20" s="243"/>
      <c r="K20" s="244"/>
      <c r="N20" s="244"/>
      <c r="T20" s="245"/>
      <c r="Z20" s="246"/>
    </row>
    <row r="21" ht="15.75" customHeight="1">
      <c r="D21" s="243"/>
      <c r="G21" s="243"/>
      <c r="K21" s="244"/>
      <c r="N21" s="244"/>
      <c r="T21" s="245"/>
      <c r="Z21" s="246"/>
    </row>
    <row r="22" ht="15.75" customHeight="1">
      <c r="D22" s="243"/>
      <c r="G22" s="243"/>
      <c r="K22" s="244"/>
      <c r="N22" s="244"/>
      <c r="T22" s="245"/>
      <c r="Z22" s="246"/>
    </row>
    <row r="23" ht="15.75" customHeight="1">
      <c r="D23" s="243"/>
      <c r="G23" s="243"/>
      <c r="K23" s="244"/>
      <c r="N23" s="244"/>
      <c r="T23" s="245"/>
      <c r="Z23" s="246"/>
    </row>
    <row r="24" ht="15.75" customHeight="1">
      <c r="D24" s="243"/>
      <c r="G24" s="243"/>
      <c r="K24" s="244"/>
      <c r="N24" s="244"/>
      <c r="T24" s="245"/>
      <c r="Z24" s="246"/>
    </row>
    <row r="25" ht="15.75" customHeight="1">
      <c r="D25" s="243"/>
      <c r="G25" s="243"/>
      <c r="K25" s="244"/>
      <c r="N25" s="244"/>
      <c r="T25" s="245"/>
      <c r="Z25" s="246"/>
    </row>
    <row r="26" ht="15.75" customHeight="1">
      <c r="D26" s="243"/>
      <c r="G26" s="243"/>
      <c r="K26" s="244"/>
      <c r="N26" s="244"/>
      <c r="T26" s="245"/>
      <c r="Z26" s="246"/>
    </row>
    <row r="27" ht="15.75" customHeight="1">
      <c r="D27" s="243"/>
      <c r="G27" s="243"/>
      <c r="K27" s="244"/>
      <c r="N27" s="244"/>
      <c r="T27" s="245"/>
      <c r="Z27" s="246"/>
    </row>
    <row r="28" ht="15.75" customHeight="1">
      <c r="D28" s="243"/>
      <c r="G28" s="243"/>
      <c r="K28" s="244"/>
      <c r="N28" s="244"/>
      <c r="T28" s="245"/>
      <c r="Z28" s="246"/>
    </row>
    <row r="29" ht="15.75" customHeight="1">
      <c r="D29" s="243"/>
      <c r="G29" s="243"/>
      <c r="K29" s="244"/>
      <c r="N29" s="244"/>
      <c r="T29" s="245"/>
      <c r="Z29" s="246"/>
    </row>
    <row r="30" ht="15.75" customHeight="1">
      <c r="D30" s="243"/>
      <c r="G30" s="243"/>
      <c r="K30" s="244"/>
      <c r="N30" s="244"/>
      <c r="T30" s="245"/>
      <c r="Z30" s="246"/>
    </row>
    <row r="31" ht="15.75" customHeight="1">
      <c r="D31" s="243"/>
      <c r="G31" s="243"/>
      <c r="K31" s="244"/>
      <c r="N31" s="244"/>
      <c r="T31" s="245"/>
      <c r="Z31" s="246"/>
    </row>
    <row r="32" ht="15.75" customHeight="1">
      <c r="D32" s="243"/>
      <c r="G32" s="243"/>
      <c r="K32" s="244"/>
      <c r="N32" s="244"/>
      <c r="T32" s="245"/>
      <c r="Z32" s="246"/>
    </row>
    <row r="33" ht="15.75" customHeight="1">
      <c r="D33" s="243"/>
      <c r="G33" s="243"/>
      <c r="K33" s="244"/>
      <c r="N33" s="244"/>
      <c r="T33" s="245"/>
      <c r="Z33" s="246"/>
    </row>
    <row r="34" ht="15.75" customHeight="1">
      <c r="D34" s="243"/>
      <c r="G34" s="243"/>
      <c r="K34" s="244"/>
      <c r="N34" s="244"/>
      <c r="T34" s="245"/>
      <c r="Z34" s="246"/>
    </row>
    <row r="35" ht="15.75" customHeight="1">
      <c r="D35" s="243"/>
      <c r="G35" s="243"/>
      <c r="K35" s="244"/>
      <c r="N35" s="244"/>
      <c r="T35" s="245"/>
      <c r="Z35" s="246"/>
    </row>
    <row r="36" ht="15.75" customHeight="1">
      <c r="D36" s="243"/>
      <c r="G36" s="243"/>
      <c r="K36" s="244"/>
      <c r="N36" s="244"/>
      <c r="T36" s="245"/>
      <c r="Z36" s="246"/>
    </row>
    <row r="37" ht="15.75" customHeight="1">
      <c r="D37" s="243"/>
      <c r="G37" s="243"/>
      <c r="K37" s="244"/>
      <c r="N37" s="244"/>
      <c r="T37" s="245"/>
      <c r="Z37" s="246"/>
    </row>
    <row r="38" ht="15.75" customHeight="1">
      <c r="D38" s="243"/>
      <c r="G38" s="243"/>
      <c r="K38" s="244"/>
      <c r="N38" s="244"/>
      <c r="T38" s="245"/>
      <c r="Z38" s="246"/>
    </row>
    <row r="39" ht="15.75" customHeight="1">
      <c r="D39" s="243"/>
      <c r="G39" s="243"/>
      <c r="K39" s="244"/>
      <c r="N39" s="244"/>
      <c r="T39" s="245"/>
      <c r="Z39" s="246"/>
    </row>
    <row r="40" ht="15.75" customHeight="1">
      <c r="D40" s="243"/>
      <c r="G40" s="243"/>
      <c r="K40" s="244"/>
      <c r="N40" s="244"/>
      <c r="T40" s="245"/>
      <c r="Z40" s="246"/>
    </row>
    <row r="41" ht="15.75" customHeight="1">
      <c r="D41" s="243"/>
      <c r="G41" s="243"/>
      <c r="K41" s="244"/>
      <c r="N41" s="244"/>
      <c r="T41" s="245"/>
      <c r="Z41" s="246"/>
    </row>
    <row r="42" ht="15.75" customHeight="1">
      <c r="D42" s="243"/>
      <c r="G42" s="243"/>
      <c r="K42" s="244"/>
      <c r="N42" s="244"/>
      <c r="T42" s="245"/>
      <c r="Z42" s="246"/>
    </row>
    <row r="43" ht="15.75" customHeight="1">
      <c r="D43" s="243"/>
      <c r="G43" s="243"/>
      <c r="K43" s="244"/>
      <c r="N43" s="244"/>
      <c r="T43" s="245"/>
      <c r="Z43" s="246"/>
    </row>
    <row r="44" ht="15.75" customHeight="1">
      <c r="D44" s="243"/>
      <c r="G44" s="243"/>
      <c r="K44" s="244"/>
      <c r="N44" s="244"/>
      <c r="T44" s="245"/>
      <c r="Z44" s="246"/>
    </row>
    <row r="45" ht="15.75" customHeight="1">
      <c r="D45" s="243"/>
      <c r="G45" s="243"/>
      <c r="K45" s="244"/>
      <c r="N45" s="244"/>
      <c r="T45" s="245"/>
      <c r="Z45" s="246"/>
    </row>
    <row r="46" ht="15.75" customHeight="1">
      <c r="D46" s="243"/>
      <c r="G46" s="243"/>
      <c r="K46" s="244"/>
      <c r="N46" s="244"/>
      <c r="T46" s="245"/>
      <c r="Z46" s="246"/>
    </row>
    <row r="47" ht="15.75" customHeight="1">
      <c r="D47" s="243"/>
      <c r="G47" s="243"/>
      <c r="K47" s="244"/>
      <c r="N47" s="244"/>
      <c r="T47" s="245"/>
      <c r="Z47" s="246"/>
    </row>
    <row r="48" ht="15.75" customHeight="1">
      <c r="D48" s="243"/>
      <c r="G48" s="243"/>
      <c r="K48" s="244"/>
      <c r="N48" s="244"/>
      <c r="T48" s="245"/>
      <c r="Z48" s="246"/>
    </row>
    <row r="49" ht="15.75" customHeight="1">
      <c r="D49" s="243"/>
      <c r="G49" s="243"/>
      <c r="K49" s="244"/>
      <c r="N49" s="244"/>
      <c r="T49" s="245"/>
      <c r="Z49" s="246"/>
    </row>
    <row r="50" ht="15.75" customHeight="1">
      <c r="D50" s="243"/>
      <c r="G50" s="243"/>
      <c r="K50" s="244"/>
      <c r="N50" s="244"/>
      <c r="T50" s="245"/>
      <c r="Z50" s="246"/>
    </row>
    <row r="51" ht="15.75" customHeight="1">
      <c r="D51" s="243"/>
      <c r="G51" s="243"/>
      <c r="K51" s="244"/>
      <c r="N51" s="244"/>
      <c r="T51" s="245"/>
      <c r="Z51" s="246"/>
    </row>
    <row r="52" ht="15.75" customHeight="1">
      <c r="D52" s="243"/>
      <c r="G52" s="243"/>
      <c r="K52" s="244"/>
      <c r="N52" s="244"/>
      <c r="T52" s="245"/>
      <c r="Z52" s="246"/>
    </row>
    <row r="53" ht="15.75" customHeight="1">
      <c r="D53" s="243"/>
      <c r="G53" s="243"/>
      <c r="K53" s="244"/>
      <c r="N53" s="244"/>
      <c r="T53" s="245"/>
      <c r="Z53" s="246"/>
    </row>
    <row r="54" ht="15.75" customHeight="1">
      <c r="D54" s="243"/>
      <c r="G54" s="243"/>
      <c r="K54" s="244"/>
      <c r="N54" s="244"/>
      <c r="T54" s="245"/>
      <c r="Z54" s="246"/>
    </row>
    <row r="55" ht="15.75" customHeight="1">
      <c r="D55" s="243"/>
      <c r="G55" s="243"/>
      <c r="K55" s="244"/>
      <c r="N55" s="244"/>
      <c r="T55" s="245"/>
      <c r="Z55" s="246"/>
    </row>
    <row r="56" ht="15.75" customHeight="1">
      <c r="D56" s="243"/>
      <c r="G56" s="243"/>
      <c r="K56" s="244"/>
      <c r="N56" s="244"/>
      <c r="T56" s="245"/>
      <c r="Z56" s="246"/>
    </row>
    <row r="57" ht="15.75" customHeight="1">
      <c r="D57" s="243"/>
      <c r="G57" s="243"/>
      <c r="K57" s="244"/>
      <c r="N57" s="244"/>
      <c r="T57" s="245"/>
      <c r="Z57" s="246"/>
    </row>
    <row r="58" ht="15.75" customHeight="1">
      <c r="D58" s="243"/>
      <c r="G58" s="243"/>
      <c r="K58" s="244"/>
      <c r="N58" s="244"/>
      <c r="T58" s="245"/>
      <c r="Z58" s="246"/>
    </row>
    <row r="59" ht="15.75" customHeight="1">
      <c r="D59" s="243"/>
      <c r="G59" s="243"/>
      <c r="K59" s="244"/>
      <c r="N59" s="244"/>
      <c r="T59" s="245"/>
      <c r="Z59" s="246"/>
    </row>
    <row r="60" ht="15.75" customHeight="1">
      <c r="D60" s="243"/>
      <c r="G60" s="243"/>
      <c r="K60" s="244"/>
      <c r="N60" s="244"/>
      <c r="T60" s="245"/>
      <c r="Z60" s="246"/>
    </row>
    <row r="61" ht="15.75" customHeight="1">
      <c r="D61" s="243"/>
      <c r="G61" s="243"/>
      <c r="K61" s="244"/>
      <c r="N61" s="244"/>
      <c r="T61" s="245"/>
      <c r="Z61" s="246"/>
    </row>
    <row r="62" ht="15.75" customHeight="1">
      <c r="D62" s="243"/>
      <c r="G62" s="243"/>
      <c r="K62" s="244"/>
      <c r="N62" s="244"/>
      <c r="T62" s="245"/>
      <c r="Z62" s="246"/>
    </row>
    <row r="63" ht="15.75" customHeight="1">
      <c r="D63" s="243"/>
      <c r="G63" s="243"/>
      <c r="K63" s="244"/>
      <c r="N63" s="244"/>
      <c r="T63" s="245"/>
      <c r="Z63" s="246"/>
    </row>
    <row r="64" ht="15.75" customHeight="1">
      <c r="D64" s="243"/>
      <c r="G64" s="243"/>
      <c r="K64" s="244"/>
      <c r="N64" s="244"/>
      <c r="T64" s="245"/>
      <c r="Z64" s="246"/>
    </row>
    <row r="65" ht="15.75" customHeight="1">
      <c r="D65" s="243"/>
      <c r="G65" s="243"/>
      <c r="K65" s="244"/>
      <c r="N65" s="244"/>
      <c r="T65" s="245"/>
      <c r="Z65" s="246"/>
    </row>
    <row r="66" ht="15.75" customHeight="1">
      <c r="D66" s="243"/>
      <c r="G66" s="243"/>
      <c r="K66" s="244"/>
      <c r="N66" s="244"/>
      <c r="T66" s="245"/>
      <c r="Z66" s="246"/>
    </row>
    <row r="67" ht="15.75" customHeight="1">
      <c r="D67" s="243"/>
      <c r="G67" s="243"/>
      <c r="K67" s="244"/>
      <c r="N67" s="244"/>
      <c r="T67" s="245"/>
      <c r="Z67" s="246"/>
    </row>
    <row r="68" ht="15.75" customHeight="1">
      <c r="D68" s="243"/>
      <c r="G68" s="243"/>
      <c r="K68" s="244"/>
      <c r="N68" s="244"/>
      <c r="T68" s="245"/>
      <c r="Z68" s="246"/>
    </row>
    <row r="69" ht="15.75" customHeight="1">
      <c r="D69" s="243"/>
      <c r="G69" s="243"/>
      <c r="K69" s="244"/>
      <c r="N69" s="244"/>
      <c r="T69" s="245"/>
      <c r="Z69" s="246"/>
    </row>
    <row r="70" ht="15.75" customHeight="1">
      <c r="D70" s="243"/>
      <c r="G70" s="243"/>
      <c r="K70" s="244"/>
      <c r="N70" s="244"/>
      <c r="T70" s="245"/>
      <c r="Z70" s="246"/>
    </row>
    <row r="71" ht="15.75" customHeight="1">
      <c r="D71" s="243"/>
      <c r="G71" s="243"/>
      <c r="K71" s="244"/>
      <c r="N71" s="244"/>
      <c r="T71" s="245"/>
      <c r="Z71" s="246"/>
    </row>
    <row r="72" ht="15.75" customHeight="1">
      <c r="D72" s="243"/>
      <c r="G72" s="243"/>
      <c r="K72" s="244"/>
      <c r="N72" s="244"/>
      <c r="T72" s="245"/>
      <c r="Z72" s="246"/>
    </row>
    <row r="73" ht="15.75" customHeight="1">
      <c r="D73" s="243"/>
      <c r="G73" s="243"/>
      <c r="K73" s="244"/>
      <c r="N73" s="244"/>
      <c r="T73" s="245"/>
      <c r="Z73" s="246"/>
    </row>
    <row r="74" ht="15.75" customHeight="1">
      <c r="D74" s="243"/>
      <c r="G74" s="243"/>
      <c r="K74" s="244"/>
      <c r="N74" s="244"/>
      <c r="T74" s="245"/>
      <c r="Z74" s="246"/>
    </row>
    <row r="75" ht="15.75" customHeight="1">
      <c r="D75" s="243"/>
      <c r="G75" s="243"/>
      <c r="K75" s="244"/>
      <c r="N75" s="244"/>
      <c r="T75" s="245"/>
      <c r="Z75" s="246"/>
    </row>
    <row r="76" ht="15.75" customHeight="1">
      <c r="D76" s="243"/>
      <c r="G76" s="243"/>
      <c r="K76" s="244"/>
      <c r="N76" s="244"/>
      <c r="T76" s="245"/>
      <c r="Z76" s="246"/>
    </row>
    <row r="77" ht="15.75" customHeight="1">
      <c r="D77" s="243"/>
      <c r="G77" s="243"/>
      <c r="K77" s="244"/>
      <c r="N77" s="244"/>
      <c r="T77" s="245"/>
      <c r="Z77" s="246"/>
    </row>
    <row r="78" ht="15.75" customHeight="1">
      <c r="D78" s="243"/>
      <c r="G78" s="243"/>
      <c r="K78" s="244"/>
      <c r="N78" s="244"/>
      <c r="T78" s="245"/>
      <c r="Z78" s="246"/>
    </row>
    <row r="79" ht="15.75" customHeight="1">
      <c r="D79" s="243"/>
      <c r="G79" s="243"/>
      <c r="K79" s="244"/>
      <c r="N79" s="244"/>
      <c r="T79" s="245"/>
      <c r="Z79" s="246"/>
    </row>
    <row r="80" ht="15.75" customHeight="1">
      <c r="D80" s="243"/>
      <c r="G80" s="243"/>
      <c r="K80" s="244"/>
      <c r="N80" s="244"/>
      <c r="T80" s="245"/>
      <c r="Z80" s="246"/>
    </row>
    <row r="81" ht="15.75" customHeight="1">
      <c r="D81" s="243"/>
      <c r="G81" s="243"/>
      <c r="K81" s="244"/>
      <c r="N81" s="244"/>
      <c r="T81" s="245"/>
      <c r="Z81" s="246"/>
    </row>
    <row r="82" ht="15.75" customHeight="1">
      <c r="D82" s="243"/>
      <c r="G82" s="243"/>
      <c r="K82" s="244"/>
      <c r="N82" s="244"/>
      <c r="T82" s="245"/>
      <c r="Z82" s="246"/>
    </row>
    <row r="83" ht="15.75" customHeight="1">
      <c r="D83" s="243"/>
      <c r="G83" s="243"/>
      <c r="K83" s="244"/>
      <c r="N83" s="244"/>
      <c r="T83" s="245"/>
      <c r="Z83" s="246"/>
    </row>
    <row r="84" ht="15.75" customHeight="1">
      <c r="D84" s="243"/>
      <c r="G84" s="243"/>
      <c r="K84" s="244"/>
      <c r="N84" s="244"/>
      <c r="T84" s="245"/>
      <c r="Z84" s="246"/>
    </row>
    <row r="85" ht="15.75" customHeight="1">
      <c r="D85" s="243"/>
      <c r="G85" s="243"/>
      <c r="K85" s="244"/>
      <c r="N85" s="244"/>
      <c r="T85" s="245"/>
      <c r="Z85" s="246"/>
    </row>
    <row r="86" ht="15.75" customHeight="1">
      <c r="D86" s="243"/>
      <c r="G86" s="243"/>
      <c r="K86" s="244"/>
      <c r="N86" s="244"/>
      <c r="T86" s="245"/>
      <c r="Z86" s="246"/>
    </row>
    <row r="87" ht="15.75" customHeight="1">
      <c r="D87" s="243"/>
      <c r="G87" s="243"/>
      <c r="K87" s="244"/>
      <c r="N87" s="244"/>
      <c r="T87" s="245"/>
      <c r="Z87" s="246"/>
    </row>
    <row r="88" ht="15.75" customHeight="1">
      <c r="D88" s="243"/>
      <c r="G88" s="243"/>
      <c r="K88" s="244"/>
      <c r="N88" s="244"/>
      <c r="T88" s="245"/>
      <c r="Z88" s="246"/>
    </row>
    <row r="89" ht="15.75" customHeight="1">
      <c r="D89" s="243"/>
      <c r="G89" s="243"/>
      <c r="K89" s="244"/>
      <c r="N89" s="244"/>
      <c r="T89" s="245"/>
      <c r="Z89" s="246"/>
    </row>
    <row r="90" ht="15.75" customHeight="1">
      <c r="D90" s="243"/>
      <c r="G90" s="243"/>
      <c r="K90" s="244"/>
      <c r="N90" s="244"/>
      <c r="T90" s="245"/>
      <c r="Z90" s="246"/>
    </row>
    <row r="91" ht="15.75" customHeight="1">
      <c r="D91" s="243"/>
      <c r="G91" s="243"/>
      <c r="K91" s="244"/>
      <c r="N91" s="244"/>
      <c r="T91" s="245"/>
      <c r="Z91" s="246"/>
    </row>
    <row r="92" ht="15.75" customHeight="1">
      <c r="D92" s="243"/>
      <c r="G92" s="243"/>
      <c r="K92" s="244"/>
      <c r="N92" s="244"/>
      <c r="T92" s="245"/>
      <c r="Z92" s="246"/>
    </row>
    <row r="93" ht="15.75" customHeight="1">
      <c r="D93" s="243"/>
      <c r="G93" s="243"/>
      <c r="K93" s="244"/>
      <c r="N93" s="244"/>
      <c r="T93" s="245"/>
      <c r="Z93" s="246"/>
    </row>
    <row r="94" ht="15.75" customHeight="1">
      <c r="D94" s="243"/>
      <c r="G94" s="243"/>
      <c r="K94" s="244"/>
      <c r="N94" s="244"/>
      <c r="T94" s="245"/>
      <c r="Z94" s="246"/>
    </row>
    <row r="95" ht="15.75" customHeight="1">
      <c r="D95" s="243"/>
      <c r="G95" s="243"/>
      <c r="K95" s="244"/>
      <c r="N95" s="244"/>
      <c r="T95" s="245"/>
      <c r="Z95" s="246"/>
    </row>
    <row r="96" ht="15.75" customHeight="1">
      <c r="D96" s="243"/>
      <c r="G96" s="243"/>
      <c r="K96" s="244"/>
      <c r="N96" s="244"/>
      <c r="T96" s="245"/>
      <c r="Z96" s="246"/>
    </row>
    <row r="97" ht="15.75" customHeight="1">
      <c r="D97" s="243"/>
      <c r="G97" s="243"/>
      <c r="K97" s="244"/>
      <c r="N97" s="244"/>
      <c r="T97" s="245"/>
      <c r="Z97" s="246"/>
    </row>
    <row r="98" ht="15.75" customHeight="1">
      <c r="D98" s="243"/>
      <c r="G98" s="243"/>
      <c r="K98" s="244"/>
      <c r="N98" s="244"/>
      <c r="T98" s="245"/>
      <c r="Z98" s="246"/>
    </row>
    <row r="99" ht="15.75" customHeight="1">
      <c r="D99" s="243"/>
      <c r="G99" s="243"/>
      <c r="K99" s="244"/>
      <c r="N99" s="244"/>
      <c r="T99" s="245"/>
      <c r="Z99" s="246"/>
    </row>
    <row r="100" ht="15.75" customHeight="1">
      <c r="D100" s="243"/>
      <c r="G100" s="243"/>
      <c r="K100" s="244"/>
      <c r="N100" s="244"/>
      <c r="T100" s="245"/>
      <c r="Z100" s="246"/>
    </row>
    <row r="101" ht="15.75" customHeight="1">
      <c r="D101" s="243"/>
      <c r="G101" s="243"/>
      <c r="K101" s="244"/>
      <c r="N101" s="244"/>
      <c r="T101" s="245"/>
      <c r="Z101" s="246"/>
    </row>
    <row r="102" ht="15.75" customHeight="1">
      <c r="D102" s="243"/>
      <c r="G102" s="243"/>
      <c r="K102" s="244"/>
      <c r="N102" s="244"/>
      <c r="T102" s="245"/>
      <c r="Z102" s="246"/>
    </row>
    <row r="103" ht="15.75" customHeight="1">
      <c r="D103" s="243"/>
      <c r="G103" s="243"/>
      <c r="K103" s="244"/>
      <c r="N103" s="244"/>
      <c r="T103" s="245"/>
      <c r="Z103" s="246"/>
    </row>
    <row r="104" ht="15.75" customHeight="1">
      <c r="D104" s="243"/>
      <c r="G104" s="243"/>
      <c r="K104" s="244"/>
      <c r="N104" s="244"/>
      <c r="T104" s="245"/>
      <c r="Z104" s="246"/>
    </row>
    <row r="105" ht="15.75" customHeight="1">
      <c r="D105" s="243"/>
      <c r="G105" s="243"/>
      <c r="K105" s="244"/>
      <c r="N105" s="244"/>
      <c r="T105" s="245"/>
      <c r="Z105" s="246"/>
    </row>
    <row r="106" ht="15.75" customHeight="1">
      <c r="D106" s="243"/>
      <c r="G106" s="243"/>
      <c r="K106" s="244"/>
      <c r="N106" s="244"/>
      <c r="T106" s="245"/>
      <c r="Z106" s="246"/>
    </row>
    <row r="107" ht="15.75" customHeight="1">
      <c r="D107" s="243"/>
      <c r="G107" s="243"/>
      <c r="K107" s="244"/>
      <c r="N107" s="244"/>
      <c r="T107" s="245"/>
      <c r="Z107" s="246"/>
    </row>
    <row r="108" ht="15.75" customHeight="1">
      <c r="D108" s="243"/>
      <c r="G108" s="243"/>
      <c r="K108" s="244"/>
      <c r="N108" s="244"/>
      <c r="T108" s="245"/>
      <c r="Z108" s="246"/>
    </row>
    <row r="109" ht="15.75" customHeight="1">
      <c r="D109" s="243"/>
      <c r="G109" s="243"/>
      <c r="K109" s="244"/>
      <c r="N109" s="244"/>
      <c r="T109" s="245"/>
      <c r="Z109" s="246"/>
    </row>
    <row r="110" ht="15.75" customHeight="1">
      <c r="D110" s="243"/>
      <c r="G110" s="243"/>
      <c r="K110" s="244"/>
      <c r="N110" s="244"/>
      <c r="T110" s="245"/>
      <c r="Z110" s="246"/>
    </row>
    <row r="111" ht="15.75" customHeight="1">
      <c r="D111" s="243"/>
      <c r="G111" s="243"/>
      <c r="K111" s="244"/>
      <c r="N111" s="244"/>
      <c r="T111" s="245"/>
      <c r="Z111" s="246"/>
    </row>
    <row r="112" ht="15.75" customHeight="1">
      <c r="D112" s="243"/>
      <c r="G112" s="243"/>
      <c r="K112" s="244"/>
      <c r="N112" s="244"/>
      <c r="T112" s="245"/>
      <c r="Z112" s="246"/>
    </row>
    <row r="113" ht="15.75" customHeight="1">
      <c r="D113" s="243"/>
      <c r="G113" s="243"/>
      <c r="K113" s="244"/>
      <c r="N113" s="244"/>
      <c r="T113" s="245"/>
      <c r="Z113" s="246"/>
    </row>
    <row r="114" ht="15.75" customHeight="1">
      <c r="D114" s="243"/>
      <c r="G114" s="243"/>
      <c r="K114" s="244"/>
      <c r="N114" s="244"/>
      <c r="T114" s="245"/>
      <c r="Z114" s="246"/>
    </row>
    <row r="115" ht="15.75" customHeight="1">
      <c r="D115" s="243"/>
      <c r="G115" s="243"/>
      <c r="K115" s="244"/>
      <c r="N115" s="244"/>
      <c r="T115" s="245"/>
      <c r="Z115" s="246"/>
    </row>
    <row r="116" ht="15.75" customHeight="1">
      <c r="D116" s="243"/>
      <c r="G116" s="243"/>
      <c r="K116" s="244"/>
      <c r="N116" s="244"/>
      <c r="T116" s="245"/>
      <c r="Z116" s="246"/>
    </row>
    <row r="117" ht="15.75" customHeight="1">
      <c r="D117" s="243"/>
      <c r="G117" s="243"/>
      <c r="K117" s="244"/>
      <c r="N117" s="244"/>
      <c r="T117" s="245"/>
      <c r="Z117" s="246"/>
    </row>
    <row r="118" ht="15.75" customHeight="1">
      <c r="D118" s="243"/>
      <c r="G118" s="243"/>
      <c r="K118" s="244"/>
      <c r="N118" s="244"/>
      <c r="T118" s="245"/>
      <c r="Z118" s="246"/>
    </row>
    <row r="119" ht="15.75" customHeight="1">
      <c r="D119" s="243"/>
      <c r="G119" s="243"/>
      <c r="K119" s="244"/>
      <c r="N119" s="244"/>
      <c r="T119" s="245"/>
      <c r="Z119" s="246"/>
    </row>
    <row r="120" ht="15.75" customHeight="1">
      <c r="D120" s="243"/>
      <c r="G120" s="243"/>
      <c r="K120" s="244"/>
      <c r="N120" s="244"/>
      <c r="T120" s="245"/>
      <c r="Z120" s="246"/>
    </row>
    <row r="121" ht="15.75" customHeight="1">
      <c r="D121" s="243"/>
      <c r="G121" s="243"/>
      <c r="K121" s="244"/>
      <c r="N121" s="244"/>
      <c r="T121" s="245"/>
      <c r="Z121" s="246"/>
    </row>
    <row r="122" ht="15.75" customHeight="1">
      <c r="D122" s="243"/>
      <c r="G122" s="243"/>
      <c r="K122" s="244"/>
      <c r="N122" s="244"/>
      <c r="T122" s="245"/>
      <c r="Z122" s="246"/>
    </row>
    <row r="123" ht="15.75" customHeight="1">
      <c r="D123" s="243"/>
      <c r="G123" s="243"/>
      <c r="K123" s="244"/>
      <c r="N123" s="244"/>
      <c r="T123" s="245"/>
      <c r="Z123" s="246"/>
    </row>
    <row r="124" ht="15.75" customHeight="1">
      <c r="D124" s="243"/>
      <c r="G124" s="243"/>
      <c r="K124" s="244"/>
      <c r="N124" s="244"/>
      <c r="T124" s="245"/>
      <c r="Z124" s="246"/>
    </row>
    <row r="125" ht="15.75" customHeight="1">
      <c r="D125" s="243"/>
      <c r="G125" s="243"/>
      <c r="K125" s="244"/>
      <c r="N125" s="244"/>
      <c r="T125" s="245"/>
      <c r="Z125" s="246"/>
    </row>
    <row r="126" ht="15.75" customHeight="1">
      <c r="D126" s="243"/>
      <c r="G126" s="243"/>
      <c r="K126" s="244"/>
      <c r="N126" s="244"/>
      <c r="T126" s="245"/>
      <c r="Z126" s="246"/>
    </row>
    <row r="127" ht="15.75" customHeight="1">
      <c r="D127" s="243"/>
      <c r="G127" s="243"/>
      <c r="K127" s="244"/>
      <c r="N127" s="244"/>
      <c r="T127" s="245"/>
      <c r="Z127" s="246"/>
    </row>
    <row r="128" ht="15.75" customHeight="1">
      <c r="D128" s="243"/>
      <c r="G128" s="243"/>
      <c r="K128" s="244"/>
      <c r="N128" s="244"/>
      <c r="T128" s="245"/>
      <c r="Z128" s="246"/>
    </row>
    <row r="129" ht="15.75" customHeight="1">
      <c r="D129" s="243"/>
      <c r="G129" s="243"/>
      <c r="K129" s="244"/>
      <c r="N129" s="244"/>
      <c r="T129" s="245"/>
      <c r="Z129" s="246"/>
    </row>
    <row r="130" ht="15.75" customHeight="1">
      <c r="D130" s="243"/>
      <c r="G130" s="243"/>
      <c r="K130" s="244"/>
      <c r="N130" s="244"/>
      <c r="T130" s="245"/>
      <c r="Z130" s="246"/>
    </row>
    <row r="131" ht="15.75" customHeight="1">
      <c r="D131" s="243"/>
      <c r="G131" s="243"/>
      <c r="K131" s="244"/>
      <c r="N131" s="244"/>
      <c r="T131" s="245"/>
      <c r="Z131" s="246"/>
    </row>
    <row r="132" ht="15.75" customHeight="1">
      <c r="D132" s="243"/>
      <c r="G132" s="243"/>
      <c r="K132" s="244"/>
      <c r="N132" s="244"/>
      <c r="T132" s="245"/>
      <c r="Z132" s="246"/>
    </row>
    <row r="133" ht="15.75" customHeight="1">
      <c r="D133" s="243"/>
      <c r="G133" s="243"/>
      <c r="K133" s="244"/>
      <c r="N133" s="244"/>
      <c r="T133" s="245"/>
      <c r="Z133" s="246"/>
    </row>
    <row r="134" ht="15.75" customHeight="1">
      <c r="D134" s="243"/>
      <c r="G134" s="243"/>
      <c r="K134" s="244"/>
      <c r="N134" s="244"/>
      <c r="T134" s="245"/>
      <c r="Z134" s="246"/>
    </row>
    <row r="135" ht="15.75" customHeight="1">
      <c r="D135" s="243"/>
      <c r="G135" s="243"/>
      <c r="K135" s="244"/>
      <c r="N135" s="244"/>
      <c r="T135" s="245"/>
      <c r="Z135" s="246"/>
    </row>
    <row r="136" ht="15.75" customHeight="1">
      <c r="D136" s="243"/>
      <c r="G136" s="243"/>
      <c r="K136" s="244"/>
      <c r="N136" s="244"/>
      <c r="T136" s="245"/>
      <c r="Z136" s="246"/>
    </row>
    <row r="137" ht="15.75" customHeight="1">
      <c r="D137" s="243"/>
      <c r="G137" s="243"/>
      <c r="K137" s="244"/>
      <c r="N137" s="244"/>
      <c r="T137" s="245"/>
      <c r="Z137" s="246"/>
    </row>
    <row r="138" ht="15.75" customHeight="1">
      <c r="D138" s="243"/>
      <c r="G138" s="243"/>
      <c r="K138" s="244"/>
      <c r="N138" s="244"/>
      <c r="T138" s="245"/>
      <c r="Z138" s="246"/>
    </row>
    <row r="139" ht="15.75" customHeight="1">
      <c r="D139" s="243"/>
      <c r="G139" s="243"/>
      <c r="K139" s="244"/>
      <c r="N139" s="244"/>
      <c r="T139" s="245"/>
      <c r="Z139" s="246"/>
    </row>
    <row r="140" ht="15.75" customHeight="1">
      <c r="D140" s="243"/>
      <c r="G140" s="243"/>
      <c r="K140" s="244"/>
      <c r="N140" s="244"/>
      <c r="T140" s="245"/>
      <c r="Z140" s="246"/>
    </row>
    <row r="141" ht="15.75" customHeight="1">
      <c r="D141" s="243"/>
      <c r="G141" s="243"/>
      <c r="K141" s="244"/>
      <c r="N141" s="244"/>
      <c r="T141" s="245"/>
      <c r="Z141" s="246"/>
    </row>
    <row r="142" ht="15.75" customHeight="1">
      <c r="D142" s="243"/>
      <c r="G142" s="243"/>
      <c r="K142" s="244"/>
      <c r="N142" s="244"/>
      <c r="T142" s="245"/>
      <c r="Z142" s="246"/>
    </row>
    <row r="143" ht="15.75" customHeight="1">
      <c r="D143" s="243"/>
      <c r="G143" s="243"/>
      <c r="K143" s="244"/>
      <c r="N143" s="244"/>
      <c r="T143" s="245"/>
      <c r="Z143" s="246"/>
    </row>
    <row r="144" ht="15.75" customHeight="1">
      <c r="D144" s="243"/>
      <c r="G144" s="243"/>
      <c r="K144" s="244"/>
      <c r="N144" s="244"/>
      <c r="T144" s="245"/>
      <c r="Z144" s="246"/>
    </row>
    <row r="145" ht="15.75" customHeight="1">
      <c r="D145" s="243"/>
      <c r="G145" s="243"/>
      <c r="K145" s="244"/>
      <c r="N145" s="244"/>
      <c r="T145" s="245"/>
      <c r="Z145" s="246"/>
    </row>
    <row r="146" ht="15.75" customHeight="1">
      <c r="D146" s="243"/>
      <c r="G146" s="243"/>
      <c r="K146" s="244"/>
      <c r="N146" s="244"/>
      <c r="T146" s="245"/>
      <c r="Z146" s="246"/>
    </row>
    <row r="147" ht="15.75" customHeight="1">
      <c r="D147" s="243"/>
      <c r="G147" s="243"/>
      <c r="K147" s="244"/>
      <c r="N147" s="244"/>
      <c r="T147" s="245"/>
      <c r="Z147" s="246"/>
    </row>
    <row r="148" ht="15.75" customHeight="1">
      <c r="D148" s="243"/>
      <c r="G148" s="243"/>
      <c r="K148" s="244"/>
      <c r="N148" s="244"/>
      <c r="T148" s="245"/>
      <c r="Z148" s="246"/>
    </row>
    <row r="149" ht="15.75" customHeight="1">
      <c r="D149" s="243"/>
      <c r="G149" s="243"/>
      <c r="K149" s="244"/>
      <c r="N149" s="244"/>
      <c r="T149" s="245"/>
      <c r="Z149" s="246"/>
    </row>
    <row r="150" ht="15.75" customHeight="1">
      <c r="D150" s="243"/>
      <c r="G150" s="243"/>
      <c r="K150" s="244"/>
      <c r="N150" s="244"/>
      <c r="T150" s="245"/>
      <c r="Z150" s="246"/>
    </row>
    <row r="151" ht="15.75" customHeight="1">
      <c r="D151" s="243"/>
      <c r="G151" s="243"/>
      <c r="K151" s="244"/>
      <c r="N151" s="244"/>
      <c r="T151" s="245"/>
      <c r="Z151" s="246"/>
    </row>
    <row r="152" ht="15.75" customHeight="1">
      <c r="D152" s="243"/>
      <c r="G152" s="243"/>
      <c r="K152" s="244"/>
      <c r="N152" s="244"/>
      <c r="T152" s="245"/>
      <c r="Z152" s="246"/>
    </row>
    <row r="153" ht="15.75" customHeight="1">
      <c r="D153" s="243"/>
      <c r="G153" s="243"/>
      <c r="K153" s="244"/>
      <c r="N153" s="244"/>
      <c r="T153" s="245"/>
      <c r="Z153" s="246"/>
    </row>
    <row r="154" ht="15.75" customHeight="1">
      <c r="D154" s="243"/>
      <c r="G154" s="243"/>
      <c r="K154" s="244"/>
      <c r="N154" s="244"/>
      <c r="T154" s="245"/>
      <c r="Z154" s="246"/>
    </row>
    <row r="155" ht="15.75" customHeight="1">
      <c r="D155" s="243"/>
      <c r="G155" s="243"/>
      <c r="K155" s="244"/>
      <c r="N155" s="244"/>
      <c r="T155" s="245"/>
      <c r="Z155" s="246"/>
    </row>
    <row r="156" ht="15.75" customHeight="1">
      <c r="D156" s="243"/>
      <c r="G156" s="243"/>
      <c r="K156" s="244"/>
      <c r="N156" s="244"/>
      <c r="T156" s="245"/>
      <c r="Z156" s="246"/>
    </row>
    <row r="157" ht="15.75" customHeight="1">
      <c r="D157" s="243"/>
      <c r="G157" s="243"/>
      <c r="K157" s="244"/>
      <c r="N157" s="244"/>
      <c r="T157" s="245"/>
      <c r="Z157" s="246"/>
    </row>
    <row r="158" ht="15.75" customHeight="1">
      <c r="D158" s="243"/>
      <c r="G158" s="243"/>
      <c r="K158" s="244"/>
      <c r="N158" s="244"/>
      <c r="T158" s="245"/>
      <c r="Z158" s="246"/>
    </row>
    <row r="159" ht="15.75" customHeight="1">
      <c r="D159" s="243"/>
      <c r="G159" s="243"/>
      <c r="K159" s="244"/>
      <c r="N159" s="244"/>
      <c r="T159" s="245"/>
      <c r="Z159" s="246"/>
    </row>
    <row r="160" ht="15.75" customHeight="1">
      <c r="D160" s="243"/>
      <c r="G160" s="243"/>
      <c r="K160" s="244"/>
      <c r="N160" s="244"/>
      <c r="T160" s="245"/>
      <c r="Z160" s="246"/>
    </row>
    <row r="161" ht="15.75" customHeight="1">
      <c r="D161" s="243"/>
      <c r="G161" s="243"/>
      <c r="K161" s="244"/>
      <c r="N161" s="244"/>
      <c r="T161" s="245"/>
      <c r="Z161" s="246"/>
    </row>
    <row r="162" ht="15.75" customHeight="1">
      <c r="D162" s="243"/>
      <c r="G162" s="243"/>
      <c r="K162" s="244"/>
      <c r="N162" s="244"/>
      <c r="T162" s="245"/>
      <c r="Z162" s="246"/>
    </row>
    <row r="163" ht="15.75" customHeight="1">
      <c r="D163" s="243"/>
      <c r="G163" s="243"/>
      <c r="K163" s="244"/>
      <c r="N163" s="244"/>
      <c r="T163" s="245"/>
      <c r="Z163" s="246"/>
    </row>
    <row r="164" ht="15.75" customHeight="1">
      <c r="D164" s="243"/>
      <c r="G164" s="243"/>
      <c r="K164" s="244"/>
      <c r="N164" s="244"/>
      <c r="T164" s="245"/>
      <c r="Z164" s="246"/>
    </row>
    <row r="165" ht="15.75" customHeight="1">
      <c r="D165" s="243"/>
      <c r="G165" s="243"/>
      <c r="K165" s="244"/>
      <c r="N165" s="244"/>
      <c r="T165" s="245"/>
      <c r="Z165" s="246"/>
    </row>
    <row r="166" ht="15.75" customHeight="1">
      <c r="D166" s="243"/>
      <c r="G166" s="243"/>
      <c r="K166" s="244"/>
      <c r="N166" s="244"/>
      <c r="T166" s="245"/>
      <c r="Z166" s="246"/>
    </row>
    <row r="167" ht="15.75" customHeight="1">
      <c r="D167" s="243"/>
      <c r="G167" s="243"/>
      <c r="K167" s="244"/>
      <c r="N167" s="244"/>
      <c r="T167" s="245"/>
      <c r="Z167" s="246"/>
    </row>
    <row r="168" ht="15.75" customHeight="1">
      <c r="D168" s="243"/>
      <c r="G168" s="243"/>
      <c r="K168" s="244"/>
      <c r="N168" s="244"/>
      <c r="T168" s="245"/>
      <c r="Z168" s="246"/>
    </row>
    <row r="169" ht="15.75" customHeight="1">
      <c r="D169" s="243"/>
      <c r="G169" s="243"/>
      <c r="K169" s="244"/>
      <c r="N169" s="244"/>
      <c r="T169" s="245"/>
      <c r="Z169" s="246"/>
    </row>
    <row r="170" ht="15.75" customHeight="1">
      <c r="D170" s="243"/>
      <c r="G170" s="243"/>
      <c r="K170" s="244"/>
      <c r="N170" s="244"/>
      <c r="T170" s="245"/>
      <c r="Z170" s="246"/>
    </row>
    <row r="171" ht="15.75" customHeight="1">
      <c r="D171" s="243"/>
      <c r="G171" s="243"/>
      <c r="K171" s="244"/>
      <c r="N171" s="244"/>
      <c r="T171" s="245"/>
      <c r="Z171" s="246"/>
    </row>
    <row r="172" ht="15.75" customHeight="1">
      <c r="D172" s="243"/>
      <c r="G172" s="243"/>
      <c r="K172" s="244"/>
      <c r="N172" s="244"/>
      <c r="T172" s="245"/>
      <c r="Z172" s="246"/>
    </row>
    <row r="173" ht="15.75" customHeight="1">
      <c r="D173" s="243"/>
      <c r="G173" s="243"/>
      <c r="K173" s="244"/>
      <c r="N173" s="244"/>
      <c r="T173" s="245"/>
      <c r="Z173" s="246"/>
    </row>
    <row r="174" ht="15.75" customHeight="1">
      <c r="D174" s="243"/>
      <c r="G174" s="243"/>
      <c r="K174" s="244"/>
      <c r="N174" s="244"/>
      <c r="T174" s="245"/>
      <c r="Z174" s="246"/>
    </row>
    <row r="175" ht="15.75" customHeight="1">
      <c r="D175" s="243"/>
      <c r="G175" s="243"/>
      <c r="K175" s="244"/>
      <c r="N175" s="244"/>
      <c r="T175" s="245"/>
      <c r="Z175" s="246"/>
    </row>
    <row r="176" ht="15.75" customHeight="1">
      <c r="D176" s="243"/>
      <c r="G176" s="243"/>
      <c r="K176" s="244"/>
      <c r="N176" s="244"/>
      <c r="T176" s="245"/>
      <c r="Z176" s="246"/>
    </row>
    <row r="177" ht="15.75" customHeight="1">
      <c r="D177" s="243"/>
      <c r="G177" s="243"/>
      <c r="K177" s="244"/>
      <c r="N177" s="244"/>
      <c r="T177" s="245"/>
      <c r="Z177" s="246"/>
    </row>
    <row r="178" ht="15.75" customHeight="1">
      <c r="D178" s="243"/>
      <c r="G178" s="243"/>
      <c r="K178" s="244"/>
      <c r="N178" s="244"/>
      <c r="T178" s="245"/>
      <c r="Z178" s="246"/>
    </row>
    <row r="179" ht="15.75" customHeight="1">
      <c r="D179" s="243"/>
      <c r="G179" s="243"/>
      <c r="K179" s="244"/>
      <c r="N179" s="244"/>
      <c r="T179" s="245"/>
      <c r="Z179" s="246"/>
    </row>
    <row r="180" ht="15.75" customHeight="1">
      <c r="D180" s="243"/>
      <c r="G180" s="243"/>
      <c r="K180" s="244"/>
      <c r="N180" s="244"/>
      <c r="T180" s="245"/>
      <c r="Z180" s="246"/>
    </row>
    <row r="181" ht="15.75" customHeight="1">
      <c r="D181" s="243"/>
      <c r="G181" s="243"/>
      <c r="K181" s="244"/>
      <c r="N181" s="244"/>
      <c r="T181" s="245"/>
      <c r="Z181" s="246"/>
    </row>
    <row r="182" ht="15.75" customHeight="1">
      <c r="D182" s="243"/>
      <c r="G182" s="243"/>
      <c r="K182" s="244"/>
      <c r="N182" s="244"/>
      <c r="T182" s="245"/>
      <c r="Z182" s="246"/>
    </row>
    <row r="183" ht="15.75" customHeight="1">
      <c r="D183" s="243"/>
      <c r="G183" s="243"/>
      <c r="K183" s="244"/>
      <c r="N183" s="244"/>
      <c r="T183" s="245"/>
      <c r="Z183" s="246"/>
    </row>
    <row r="184" ht="15.75" customHeight="1">
      <c r="D184" s="243"/>
      <c r="G184" s="243"/>
      <c r="K184" s="244"/>
      <c r="N184" s="244"/>
      <c r="T184" s="245"/>
      <c r="Z184" s="246"/>
    </row>
    <row r="185" ht="15.75" customHeight="1">
      <c r="D185" s="243"/>
      <c r="G185" s="243"/>
      <c r="K185" s="244"/>
      <c r="N185" s="244"/>
      <c r="T185" s="245"/>
      <c r="Z185" s="246"/>
    </row>
    <row r="186" ht="15.75" customHeight="1">
      <c r="D186" s="243"/>
      <c r="G186" s="243"/>
      <c r="K186" s="244"/>
      <c r="N186" s="244"/>
      <c r="T186" s="245"/>
      <c r="Z186" s="246"/>
    </row>
    <row r="187" ht="15.75" customHeight="1">
      <c r="D187" s="243"/>
      <c r="G187" s="243"/>
      <c r="K187" s="244"/>
      <c r="N187" s="244"/>
      <c r="T187" s="245"/>
      <c r="Z187" s="246"/>
    </row>
    <row r="188" ht="15.75" customHeight="1">
      <c r="D188" s="243"/>
      <c r="G188" s="243"/>
      <c r="K188" s="244"/>
      <c r="N188" s="244"/>
      <c r="T188" s="245"/>
      <c r="Z188" s="246"/>
    </row>
    <row r="189" ht="15.75" customHeight="1">
      <c r="D189" s="243"/>
      <c r="G189" s="243"/>
      <c r="K189" s="244"/>
      <c r="N189" s="244"/>
      <c r="T189" s="245"/>
      <c r="Z189" s="246"/>
    </row>
    <row r="190" ht="15.75" customHeight="1">
      <c r="D190" s="243"/>
      <c r="G190" s="243"/>
      <c r="K190" s="244"/>
      <c r="N190" s="244"/>
      <c r="T190" s="245"/>
      <c r="Z190" s="246"/>
    </row>
    <row r="191" ht="15.75" customHeight="1">
      <c r="D191" s="243"/>
      <c r="G191" s="243"/>
      <c r="K191" s="244"/>
      <c r="N191" s="244"/>
      <c r="T191" s="245"/>
      <c r="Z191" s="246"/>
    </row>
    <row r="192" ht="15.75" customHeight="1">
      <c r="D192" s="243"/>
      <c r="G192" s="243"/>
      <c r="K192" s="244"/>
      <c r="N192" s="244"/>
      <c r="T192" s="245"/>
      <c r="Z192" s="246"/>
    </row>
    <row r="193" ht="15.75" customHeight="1">
      <c r="D193" s="243"/>
      <c r="G193" s="243"/>
      <c r="K193" s="244"/>
      <c r="N193" s="244"/>
      <c r="T193" s="245"/>
      <c r="Z193" s="246"/>
    </row>
    <row r="194" ht="15.75" customHeight="1">
      <c r="D194" s="243"/>
      <c r="G194" s="243"/>
      <c r="K194" s="244"/>
      <c r="N194" s="244"/>
      <c r="T194" s="245"/>
      <c r="Z194" s="246"/>
    </row>
    <row r="195" ht="15.75" customHeight="1">
      <c r="D195" s="243"/>
      <c r="G195" s="243"/>
      <c r="K195" s="244"/>
      <c r="N195" s="244"/>
      <c r="T195" s="245"/>
      <c r="Z195" s="246"/>
    </row>
    <row r="196" ht="15.75" customHeight="1">
      <c r="D196" s="243"/>
      <c r="G196" s="243"/>
      <c r="K196" s="244"/>
      <c r="N196" s="244"/>
      <c r="T196" s="245"/>
      <c r="Z196" s="246"/>
    </row>
    <row r="197" ht="15.75" customHeight="1">
      <c r="D197" s="243"/>
      <c r="G197" s="243"/>
      <c r="K197" s="244"/>
      <c r="N197" s="244"/>
      <c r="T197" s="245"/>
      <c r="Z197" s="246"/>
    </row>
    <row r="198" ht="15.75" customHeight="1">
      <c r="D198" s="243"/>
      <c r="G198" s="243"/>
      <c r="K198" s="244"/>
      <c r="N198" s="244"/>
      <c r="T198" s="245"/>
      <c r="Z198" s="246"/>
    </row>
    <row r="199" ht="15.75" customHeight="1">
      <c r="D199" s="243"/>
      <c r="G199" s="243"/>
      <c r="K199" s="244"/>
      <c r="N199" s="244"/>
      <c r="T199" s="245"/>
      <c r="Z199" s="246"/>
    </row>
    <row r="200" ht="15.75" customHeight="1">
      <c r="D200" s="243"/>
      <c r="G200" s="243"/>
      <c r="K200" s="244"/>
      <c r="N200" s="244"/>
      <c r="T200" s="245"/>
      <c r="Z200" s="246"/>
    </row>
    <row r="201" ht="15.75" customHeight="1">
      <c r="D201" s="243"/>
      <c r="G201" s="243"/>
      <c r="K201" s="244"/>
      <c r="N201" s="244"/>
      <c r="T201" s="245"/>
      <c r="Z201" s="246"/>
    </row>
    <row r="202" ht="15.75" customHeight="1">
      <c r="D202" s="243"/>
      <c r="G202" s="243"/>
      <c r="K202" s="244"/>
      <c r="N202" s="244"/>
      <c r="T202" s="245"/>
      <c r="Z202" s="246"/>
    </row>
    <row r="203" ht="15.75" customHeight="1">
      <c r="D203" s="243"/>
      <c r="G203" s="243"/>
      <c r="K203" s="244"/>
      <c r="N203" s="244"/>
      <c r="T203" s="245"/>
      <c r="Z203" s="246"/>
    </row>
    <row r="204" ht="15.75" customHeight="1">
      <c r="D204" s="243"/>
      <c r="G204" s="243"/>
      <c r="K204" s="244"/>
      <c r="N204" s="244"/>
      <c r="T204" s="245"/>
      <c r="Z204" s="246"/>
    </row>
    <row r="205" ht="15.75" customHeight="1">
      <c r="D205" s="243"/>
      <c r="G205" s="243"/>
      <c r="K205" s="244"/>
      <c r="N205" s="244"/>
      <c r="T205" s="245"/>
      <c r="Z205" s="246"/>
    </row>
    <row r="206" ht="15.75" customHeight="1">
      <c r="D206" s="243"/>
      <c r="G206" s="243"/>
      <c r="K206" s="244"/>
      <c r="N206" s="244"/>
      <c r="T206" s="245"/>
      <c r="Z206" s="246"/>
    </row>
    <row r="207" ht="15.75" customHeight="1">
      <c r="D207" s="243"/>
      <c r="G207" s="243"/>
      <c r="K207" s="244"/>
      <c r="N207" s="244"/>
      <c r="T207" s="245"/>
      <c r="Z207" s="246"/>
    </row>
    <row r="208" ht="15.75" customHeight="1">
      <c r="D208" s="243"/>
      <c r="G208" s="243"/>
      <c r="K208" s="244"/>
      <c r="N208" s="244"/>
      <c r="T208" s="245"/>
      <c r="Z208" s="246"/>
    </row>
    <row r="209" ht="15.75" customHeight="1">
      <c r="D209" s="243"/>
      <c r="G209" s="243"/>
      <c r="K209" s="244"/>
      <c r="N209" s="244"/>
      <c r="T209" s="245"/>
      <c r="Z209" s="246"/>
    </row>
    <row r="210" ht="15.75" customHeight="1">
      <c r="D210" s="243"/>
      <c r="G210" s="243"/>
      <c r="K210" s="244"/>
      <c r="N210" s="244"/>
      <c r="T210" s="245"/>
      <c r="Z210" s="246"/>
    </row>
    <row r="211" ht="15.75" customHeight="1">
      <c r="D211" s="243"/>
      <c r="G211" s="243"/>
      <c r="K211" s="244"/>
      <c r="N211" s="244"/>
      <c r="T211" s="245"/>
      <c r="Z211" s="246"/>
    </row>
    <row r="212" ht="15.75" customHeight="1">
      <c r="D212" s="243"/>
      <c r="G212" s="243"/>
      <c r="K212" s="244"/>
      <c r="N212" s="244"/>
      <c r="T212" s="245"/>
      <c r="Z212" s="246"/>
    </row>
    <row r="213" ht="15.75" customHeight="1">
      <c r="D213" s="243"/>
      <c r="G213" s="243"/>
      <c r="K213" s="244"/>
      <c r="N213" s="244"/>
      <c r="T213" s="245"/>
      <c r="Z213" s="246"/>
    </row>
    <row r="214" ht="15.75" customHeight="1">
      <c r="D214" s="243"/>
      <c r="G214" s="243"/>
      <c r="K214" s="244"/>
      <c r="N214" s="244"/>
      <c r="T214" s="245"/>
      <c r="Z214" s="246"/>
    </row>
    <row r="215" ht="15.75" customHeight="1">
      <c r="D215" s="243"/>
      <c r="G215" s="243"/>
      <c r="K215" s="244"/>
      <c r="N215" s="244"/>
      <c r="T215" s="245"/>
      <c r="Z215" s="246"/>
    </row>
    <row r="216" ht="15.75" customHeight="1">
      <c r="D216" s="243"/>
      <c r="G216" s="243"/>
      <c r="K216" s="244"/>
      <c r="N216" s="244"/>
      <c r="T216" s="245"/>
      <c r="Z216" s="246"/>
    </row>
    <row r="217" ht="15.75" customHeight="1">
      <c r="D217" s="243"/>
      <c r="G217" s="243"/>
      <c r="K217" s="244"/>
      <c r="N217" s="244"/>
      <c r="T217" s="245"/>
      <c r="Z217" s="246"/>
    </row>
    <row r="218" ht="15.75" customHeight="1">
      <c r="D218" s="243"/>
      <c r="G218" s="243"/>
      <c r="K218" s="244"/>
      <c r="N218" s="244"/>
      <c r="T218" s="245"/>
      <c r="Z218" s="246"/>
    </row>
    <row r="219" ht="15.75" customHeight="1">
      <c r="D219" s="243"/>
      <c r="G219" s="243"/>
      <c r="K219" s="244"/>
      <c r="N219" s="244"/>
      <c r="T219" s="245"/>
      <c r="Z219" s="246"/>
    </row>
    <row r="220" ht="15.75" customHeight="1">
      <c r="D220" s="243"/>
      <c r="G220" s="243"/>
      <c r="K220" s="244"/>
      <c r="N220" s="244"/>
      <c r="T220" s="245"/>
      <c r="Z220" s="24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63" t="s">
        <v>125</v>
      </c>
      <c r="B1" s="363" t="s">
        <v>126</v>
      </c>
      <c r="C1" s="363" t="s">
        <v>127</v>
      </c>
      <c r="D1" s="364" t="s">
        <v>10</v>
      </c>
      <c r="E1" s="363" t="s">
        <v>17</v>
      </c>
      <c r="F1" s="365" t="s">
        <v>134</v>
      </c>
      <c r="G1" s="363" t="s">
        <v>33</v>
      </c>
      <c r="H1" s="363" t="s">
        <v>40</v>
      </c>
      <c r="I1" s="363" t="s">
        <v>112</v>
      </c>
      <c r="J1" s="363" t="s">
        <v>65</v>
      </c>
      <c r="K1" s="363" t="s">
        <v>128</v>
      </c>
      <c r="L1" s="363" t="s">
        <v>58</v>
      </c>
      <c r="M1" s="363" t="s">
        <v>66</v>
      </c>
      <c r="N1" s="363" t="s">
        <v>73</v>
      </c>
      <c r="O1" s="363" t="s">
        <v>75</v>
      </c>
      <c r="Q1" s="366"/>
      <c r="R1" s="366"/>
      <c r="S1" s="366"/>
      <c r="T1" s="366"/>
      <c r="U1" s="366"/>
      <c r="V1" s="366"/>
      <c r="W1" s="366"/>
      <c r="X1" s="366"/>
      <c r="Y1" s="366"/>
      <c r="Z1" s="366"/>
      <c r="AA1" s="366"/>
      <c r="AB1" s="366"/>
    </row>
    <row r="2">
      <c r="A2" s="3" t="s">
        <v>117</v>
      </c>
      <c r="B2" s="367">
        <f>'Period Store Scorecards '!AJ3</f>
        <v>3.359</v>
      </c>
      <c r="C2" s="368" t="str">
        <f t="shared" ref="C2:C7" si="1">IFS(B2&lt;1.7,"Non", B2&lt;2.7,"Low", B2&lt;3.7,"Contributor", B2&lt;4.7,"High", TRUE,"STAR")</f>
        <v>Contributor</v>
      </c>
      <c r="D2" s="369">
        <f>'Period Store Scorecards '!B3</f>
        <v>0.9091627355</v>
      </c>
      <c r="E2" s="369">
        <f>'Period Store Scorecards '!E3</f>
        <v>1.053592755</v>
      </c>
      <c r="F2" s="370">
        <f>'Period Store Scorecards '!H3</f>
        <v>0</v>
      </c>
      <c r="G2" s="371">
        <f>'Period Store Scorecards '!K3</f>
        <v>-2.6</v>
      </c>
      <c r="H2" s="371">
        <f>'Period Store Scorecards '!N3</f>
        <v>1.4</v>
      </c>
      <c r="I2" s="372">
        <f>'Period Store Scorecards '!Q3</f>
        <v>5</v>
      </c>
      <c r="J2" s="373">
        <f>'Period Store Scorecards '!Z3</f>
        <v>4</v>
      </c>
      <c r="K2" s="374">
        <f>'Period Store Scorecards '!T3</f>
        <v>0.0405</v>
      </c>
      <c r="L2" s="375">
        <f>'Period Store Scorecards '!W3</f>
        <v>0.57</v>
      </c>
      <c r="M2" s="376">
        <f>'Period Store Scorecards '!AC3</f>
        <v>92</v>
      </c>
      <c r="N2" s="376">
        <f>'Period Store Scorecards '!AF3</f>
        <v>90</v>
      </c>
      <c r="O2" s="377">
        <f>'Period Store Scorecards '!AI3</f>
        <v>0.85</v>
      </c>
    </row>
    <row r="3">
      <c r="A3" s="3" t="s">
        <v>118</v>
      </c>
      <c r="B3" s="367">
        <f>'Period Store Scorecards '!AJ4</f>
        <v>2.531</v>
      </c>
      <c r="C3" s="368" t="str">
        <f t="shared" si="1"/>
        <v>Low</v>
      </c>
      <c r="D3" s="369">
        <f>'Period Store Scorecards '!B4</f>
        <v>0.8022075244</v>
      </c>
      <c r="E3" s="369">
        <f>'Period Store Scorecards '!E4</f>
        <v>0.991307091</v>
      </c>
      <c r="F3" s="370">
        <f>'Period Store Scorecards '!H4</f>
        <v>0</v>
      </c>
      <c r="G3" s="371">
        <f>'Period Store Scorecards '!K4</f>
        <v>3.5</v>
      </c>
      <c r="H3" s="371">
        <f>'Period Store Scorecards '!N4</f>
        <v>2.6</v>
      </c>
      <c r="I3" s="372">
        <f>'Period Store Scorecards '!Q4</f>
        <v>4.67</v>
      </c>
      <c r="J3" s="373">
        <f>'Period Store Scorecards '!Z4</f>
        <v>4.4</v>
      </c>
      <c r="K3" s="374">
        <f>'Period Store Scorecards '!T4</f>
        <v>0.0315</v>
      </c>
      <c r="L3" s="375">
        <f>'Period Store Scorecards '!W4</f>
        <v>1.48</v>
      </c>
      <c r="M3" s="376">
        <f>'Period Store Scorecards '!AC4</f>
        <v>88</v>
      </c>
      <c r="N3" s="376">
        <f>'Period Store Scorecards '!AF4</f>
        <v>86</v>
      </c>
      <c r="O3" s="377">
        <f>'Period Store Scorecards '!AI4</f>
        <v>0.87</v>
      </c>
    </row>
    <row r="4">
      <c r="A4" s="3" t="s">
        <v>119</v>
      </c>
      <c r="B4" s="367">
        <f>'Period Store Scorecards '!AJ5</f>
        <v>2.412</v>
      </c>
      <c r="C4" s="368" t="str">
        <f t="shared" si="1"/>
        <v>Low</v>
      </c>
      <c r="D4" s="369">
        <f>'Period Store Scorecards '!B5</f>
        <v>0.7159853453</v>
      </c>
      <c r="E4" s="369">
        <f>'Period Store Scorecards '!E5</f>
        <v>0.8586523126</v>
      </c>
      <c r="F4" s="370">
        <f>'Period Store Scorecards '!H5</f>
        <v>0</v>
      </c>
      <c r="G4" s="371">
        <f>'Period Store Scorecards '!K5</f>
        <v>-2.1</v>
      </c>
      <c r="H4" s="371">
        <f>'Period Store Scorecards '!N5</f>
        <v>0.7</v>
      </c>
      <c r="I4" s="372">
        <f>'Period Store Scorecards '!Q5</f>
        <v>3</v>
      </c>
      <c r="J4" s="373">
        <f>'Period Store Scorecards '!Z5</f>
        <v>4.5</v>
      </c>
      <c r="K4" s="374">
        <f>'Period Store Scorecards '!T5</f>
        <v>0.0264</v>
      </c>
      <c r="L4" s="375">
        <f>'Period Store Scorecards '!W5</f>
        <v>0.59</v>
      </c>
      <c r="M4" s="376">
        <f>'Period Store Scorecards '!AC5</f>
        <v>91</v>
      </c>
      <c r="N4" s="376">
        <f>'Period Store Scorecards '!AF5</f>
        <v>93</v>
      </c>
      <c r="O4" s="377">
        <f>'Period Store Scorecards '!AI5</f>
        <v>0.93</v>
      </c>
    </row>
    <row r="5">
      <c r="A5" s="3" t="s">
        <v>120</v>
      </c>
      <c r="B5" s="367">
        <f>'Period Store Scorecards '!AJ6</f>
        <v>2.9465</v>
      </c>
      <c r="C5" s="368" t="str">
        <f t="shared" si="1"/>
        <v>Contributor</v>
      </c>
      <c r="D5" s="369">
        <f>'Period Store Scorecards '!B6</f>
        <v>1.127917327</v>
      </c>
      <c r="E5" s="369">
        <f>'Period Store Scorecards '!E6</f>
        <v>1.088530113</v>
      </c>
      <c r="F5" s="370">
        <f>'Period Store Scorecards '!H6</f>
        <v>0</v>
      </c>
      <c r="G5" s="371">
        <f>'Period Store Scorecards '!K6</f>
        <v>-3</v>
      </c>
      <c r="H5" s="371">
        <f>'Period Store Scorecards '!N6</f>
        <v>1</v>
      </c>
      <c r="I5" s="372">
        <f>'Period Store Scorecards '!Q6</f>
        <v>4.33</v>
      </c>
      <c r="J5" s="373">
        <f>'Period Store Scorecards '!Z6</f>
        <v>4.3</v>
      </c>
      <c r="K5" s="374">
        <f>'Period Store Scorecards '!T6</f>
        <v>0.0315</v>
      </c>
      <c r="L5" s="375">
        <f>'Period Store Scorecards '!W6</f>
        <v>1.14</v>
      </c>
      <c r="M5" s="376">
        <f>'Period Store Scorecards '!AC6</f>
        <v>78</v>
      </c>
      <c r="N5" s="376">
        <f>'Period Store Scorecards '!AF6</f>
        <v>75</v>
      </c>
      <c r="O5" s="377">
        <f>'Period Store Scorecards '!AI6</f>
        <v>0.8</v>
      </c>
    </row>
    <row r="6">
      <c r="A6" s="3" t="s">
        <v>121</v>
      </c>
      <c r="B6" s="367">
        <f>'Period Store Scorecards '!AJ7</f>
        <v>2.532</v>
      </c>
      <c r="C6" s="368" t="str">
        <f t="shared" si="1"/>
        <v>Low</v>
      </c>
      <c r="D6" s="369">
        <f>'Period Store Scorecards '!B7</f>
        <v>0.8999248072</v>
      </c>
      <c r="E6" s="369">
        <f>'Period Store Scorecards '!E7</f>
        <v>0.8220935645</v>
      </c>
      <c r="F6" s="370">
        <f>'Period Store Scorecards '!H7</f>
        <v>0</v>
      </c>
      <c r="G6" s="371">
        <f>'Period Store Scorecards '!K7</f>
        <v>-1.4</v>
      </c>
      <c r="H6" s="371">
        <f>'Period Store Scorecards '!N7</f>
        <v>1.1</v>
      </c>
      <c r="I6" s="372">
        <f>'Period Store Scorecards '!Q7</f>
        <v>4.47</v>
      </c>
      <c r="J6" s="373">
        <f>'Period Store Scorecards '!Z7</f>
        <v>4.3</v>
      </c>
      <c r="K6" s="374">
        <f>'Period Store Scorecards '!T7</f>
        <v>0.045</v>
      </c>
      <c r="L6" s="375">
        <f>'Period Store Scorecards '!W7</f>
        <v>2.03</v>
      </c>
      <c r="M6" s="376">
        <f>'Period Store Scorecards '!AC7</f>
        <v>77</v>
      </c>
      <c r="N6" s="376">
        <f>'Period Store Scorecards '!AF7</f>
        <v>74</v>
      </c>
      <c r="O6" s="377">
        <f>'Period Store Scorecards '!AI7</f>
        <v>0.78</v>
      </c>
    </row>
    <row r="7">
      <c r="A7" s="378" t="s">
        <v>122</v>
      </c>
      <c r="B7" s="379">
        <f>'Period Store Scorecards '!AJ8</f>
        <v>2.666</v>
      </c>
      <c r="C7" s="380" t="str">
        <f t="shared" si="1"/>
        <v>Low</v>
      </c>
      <c r="D7" s="381">
        <f>'Period Store Scorecards '!B8</f>
        <v>0.8582946093</v>
      </c>
      <c r="E7" s="381">
        <f>'Period Store Scorecards '!E8</f>
        <v>0.9403052886</v>
      </c>
      <c r="F7" s="382">
        <f>'Period Store Scorecards '!H8</f>
        <v>0</v>
      </c>
      <c r="G7" s="383">
        <f>'Period Store Scorecards '!K8</f>
        <v>-1</v>
      </c>
      <c r="H7" s="383">
        <f>'Period Store Scorecards '!N8</f>
        <v>1.2</v>
      </c>
      <c r="I7" s="384">
        <f>'Period Store Scorecards '!Q8</f>
        <v>4.294</v>
      </c>
      <c r="J7" s="385">
        <f>'Period Store Scorecards '!Z8</f>
        <v>4.3</v>
      </c>
      <c r="K7" s="386">
        <f>'Period Store Scorecards '!T8</f>
        <v>0.03498</v>
      </c>
      <c r="L7" s="387">
        <f>'Period Store Scorecards '!W8</f>
        <v>1.19</v>
      </c>
      <c r="M7" s="388">
        <f>'Period Store Scorecards '!AC8</f>
        <v>85.2</v>
      </c>
      <c r="N7" s="388">
        <f>'Period Store Scorecards '!AF8</f>
        <v>83.6</v>
      </c>
      <c r="O7" s="389">
        <f>'Period Store Scorecards '!AI8</f>
        <v>0.846</v>
      </c>
    </row>
    <row r="8">
      <c r="A8" s="3"/>
      <c r="B8" s="167"/>
      <c r="C8" s="167"/>
      <c r="D8" s="374"/>
      <c r="E8" s="167"/>
      <c r="F8" s="167"/>
      <c r="G8" s="167"/>
      <c r="H8" s="167"/>
    </row>
    <row r="9">
      <c r="A9" s="166"/>
      <c r="B9" s="168"/>
      <c r="C9" s="167"/>
      <c r="D9" s="374"/>
      <c r="E9" s="167"/>
      <c r="F9" s="167"/>
      <c r="G9" s="167"/>
      <c r="H9" s="167"/>
    </row>
    <row r="10">
      <c r="A10" s="169"/>
      <c r="B10" s="170"/>
      <c r="C10" s="171"/>
      <c r="D10" s="390"/>
      <c r="E10" s="171"/>
      <c r="F10" s="171"/>
      <c r="G10" s="171"/>
      <c r="H10" s="171"/>
    </row>
    <row r="11">
      <c r="D11" s="247"/>
      <c r="F11" s="177"/>
      <c r="N11" s="177"/>
      <c r="O11" s="177"/>
    </row>
    <row r="12">
      <c r="B12" s="171"/>
      <c r="C12" s="171"/>
      <c r="D12" s="390"/>
      <c r="E12" s="171"/>
      <c r="F12" s="171"/>
      <c r="G12" s="171"/>
      <c r="H12" s="171"/>
    </row>
    <row r="13">
      <c r="B13" s="171"/>
      <c r="C13" s="171"/>
      <c r="D13" s="390"/>
      <c r="E13" s="171"/>
      <c r="F13" s="171"/>
      <c r="G13" s="171"/>
      <c r="H13" s="171"/>
    </row>
    <row r="14">
      <c r="B14" s="171"/>
      <c r="C14" s="171"/>
      <c r="D14" s="390"/>
      <c r="E14" s="171"/>
      <c r="F14" s="171"/>
      <c r="G14" s="171"/>
      <c r="H14" s="171"/>
    </row>
    <row r="15">
      <c r="B15" s="171"/>
      <c r="C15" s="171"/>
      <c r="D15" s="390"/>
      <c r="E15" s="171"/>
      <c r="F15" s="171"/>
      <c r="G15" s="171"/>
      <c r="H15" s="171"/>
    </row>
    <row r="16">
      <c r="B16" s="171"/>
      <c r="C16" s="171"/>
      <c r="D16" s="390"/>
      <c r="E16" s="171"/>
      <c r="F16" s="171"/>
      <c r="G16" s="171"/>
      <c r="H16" s="171"/>
    </row>
    <row r="17">
      <c r="D17" s="247"/>
    </row>
    <row r="18">
      <c r="D18" s="247"/>
    </row>
    <row r="19">
      <c r="D19" s="247"/>
    </row>
    <row r="20">
      <c r="D20" s="247"/>
    </row>
    <row r="21" ht="15.75" customHeight="1">
      <c r="D21" s="247"/>
    </row>
    <row r="22" ht="15.75" customHeight="1">
      <c r="D22" s="247"/>
    </row>
    <row r="23" ht="15.75" customHeight="1">
      <c r="D23" s="247"/>
    </row>
    <row r="24" ht="15.75" customHeight="1">
      <c r="D24" s="247"/>
    </row>
    <row r="25" ht="15.75" customHeight="1">
      <c r="D25" s="247"/>
    </row>
    <row r="26" ht="15.75" customHeight="1">
      <c r="D26" s="247"/>
    </row>
    <row r="27" ht="15.75" customHeight="1">
      <c r="D27" s="247"/>
    </row>
    <row r="28" ht="15.75" customHeight="1">
      <c r="D28" s="247"/>
    </row>
    <row r="29" ht="15.75" customHeight="1">
      <c r="D29" s="247"/>
    </row>
    <row r="30" ht="15.75" customHeight="1">
      <c r="D30" s="247"/>
    </row>
    <row r="31" ht="15.75" customHeight="1">
      <c r="D31" s="247"/>
    </row>
    <row r="32" ht="15.75" customHeight="1">
      <c r="D32" s="247"/>
    </row>
    <row r="33" ht="15.75" customHeight="1">
      <c r="D33" s="247"/>
    </row>
    <row r="34" ht="15.75" customHeight="1">
      <c r="D34" s="247"/>
    </row>
    <row r="35" ht="15.75" customHeight="1">
      <c r="D35" s="247"/>
    </row>
    <row r="36" ht="15.75" customHeight="1">
      <c r="D36" s="247"/>
    </row>
    <row r="37" ht="15.75" customHeight="1">
      <c r="D37" s="247"/>
    </row>
    <row r="38" ht="15.75" customHeight="1">
      <c r="D38" s="247"/>
    </row>
    <row r="39" ht="15.75" customHeight="1">
      <c r="D39" s="247"/>
    </row>
    <row r="40" ht="15.75" customHeight="1">
      <c r="D40" s="247"/>
    </row>
    <row r="41" ht="15.75" customHeight="1">
      <c r="D41" s="247"/>
    </row>
    <row r="42" ht="15.75" customHeight="1">
      <c r="D42" s="247"/>
    </row>
    <row r="43" ht="15.75" customHeight="1">
      <c r="D43" s="247"/>
    </row>
    <row r="44" ht="15.75" customHeight="1">
      <c r="D44" s="247"/>
    </row>
    <row r="45" ht="15.75" customHeight="1">
      <c r="D45" s="247"/>
    </row>
    <row r="46" ht="15.75" customHeight="1">
      <c r="D46" s="247"/>
    </row>
    <row r="47" ht="15.75" customHeight="1">
      <c r="D47" s="247"/>
    </row>
    <row r="48" ht="15.75" customHeight="1">
      <c r="D48" s="247"/>
    </row>
    <row r="49" ht="15.75" customHeight="1">
      <c r="D49" s="247"/>
    </row>
    <row r="50" ht="15.75" customHeight="1">
      <c r="D50" s="247"/>
    </row>
    <row r="51" ht="15.75" customHeight="1">
      <c r="D51" s="247"/>
    </row>
    <row r="52" ht="15.75" customHeight="1">
      <c r="D52" s="247"/>
    </row>
    <row r="53" ht="15.75" customHeight="1">
      <c r="D53" s="247"/>
    </row>
    <row r="54" ht="15.75" customHeight="1">
      <c r="D54" s="247"/>
    </row>
    <row r="55" ht="15.75" customHeight="1">
      <c r="D55" s="247"/>
    </row>
    <row r="56" ht="15.75" customHeight="1">
      <c r="D56" s="247"/>
    </row>
    <row r="57" ht="15.75" customHeight="1">
      <c r="D57" s="247"/>
    </row>
    <row r="58" ht="15.75" customHeight="1">
      <c r="D58" s="247"/>
    </row>
    <row r="59" ht="15.75" customHeight="1">
      <c r="D59" s="247"/>
    </row>
    <row r="60" ht="15.75" customHeight="1">
      <c r="D60" s="247"/>
    </row>
    <row r="61" ht="15.75" customHeight="1">
      <c r="D61" s="247"/>
    </row>
    <row r="62" ht="15.75" customHeight="1">
      <c r="D62" s="247"/>
    </row>
    <row r="63" ht="15.75" customHeight="1">
      <c r="D63" s="247"/>
    </row>
    <row r="64" ht="15.75" customHeight="1">
      <c r="D64" s="247"/>
    </row>
    <row r="65" ht="15.75" customHeight="1">
      <c r="D65" s="247"/>
    </row>
    <row r="66" ht="15.75" customHeight="1">
      <c r="D66" s="247"/>
    </row>
    <row r="67" ht="15.75" customHeight="1">
      <c r="D67" s="247"/>
    </row>
    <row r="68" ht="15.75" customHeight="1">
      <c r="D68" s="247"/>
    </row>
    <row r="69" ht="15.75" customHeight="1">
      <c r="D69" s="247"/>
    </row>
    <row r="70" ht="15.75" customHeight="1">
      <c r="D70" s="247"/>
    </row>
    <row r="71" ht="15.75" customHeight="1">
      <c r="D71" s="247"/>
    </row>
    <row r="72" ht="15.75" customHeight="1">
      <c r="D72" s="247"/>
    </row>
    <row r="73" ht="15.75" customHeight="1">
      <c r="D73" s="247"/>
    </row>
    <row r="74" ht="15.75" customHeight="1">
      <c r="D74" s="247"/>
    </row>
    <row r="75" ht="15.75" customHeight="1">
      <c r="D75" s="247"/>
    </row>
    <row r="76" ht="15.75" customHeight="1">
      <c r="D76" s="247"/>
    </row>
    <row r="77" ht="15.75" customHeight="1">
      <c r="D77" s="247"/>
    </row>
    <row r="78" ht="15.75" customHeight="1">
      <c r="D78" s="247"/>
    </row>
    <row r="79" ht="15.75" customHeight="1">
      <c r="D79" s="247"/>
    </row>
    <row r="80" ht="15.75" customHeight="1">
      <c r="D80" s="247"/>
    </row>
    <row r="81" ht="15.75" customHeight="1">
      <c r="D81" s="247"/>
    </row>
    <row r="82" ht="15.75" customHeight="1">
      <c r="D82" s="247"/>
    </row>
    <row r="83" ht="15.75" customHeight="1">
      <c r="D83" s="247"/>
    </row>
    <row r="84" ht="15.75" customHeight="1">
      <c r="D84" s="247"/>
    </row>
    <row r="85" ht="15.75" customHeight="1">
      <c r="D85" s="247"/>
    </row>
    <row r="86" ht="15.75" customHeight="1">
      <c r="D86" s="247"/>
    </row>
    <row r="87" ht="15.75" customHeight="1">
      <c r="D87" s="247"/>
    </row>
    <row r="88" ht="15.75" customHeight="1">
      <c r="D88" s="247"/>
    </row>
    <row r="89" ht="15.75" customHeight="1">
      <c r="D89" s="247"/>
    </row>
    <row r="90" ht="15.75" customHeight="1">
      <c r="D90" s="247"/>
    </row>
    <row r="91" ht="15.75" customHeight="1">
      <c r="D91" s="247"/>
    </row>
    <row r="92" ht="15.75" customHeight="1">
      <c r="D92" s="247"/>
    </row>
    <row r="93" ht="15.75" customHeight="1">
      <c r="D93" s="247"/>
    </row>
    <row r="94" ht="15.75" customHeight="1">
      <c r="D94" s="247"/>
    </row>
    <row r="95" ht="15.75" customHeight="1">
      <c r="D95" s="247"/>
    </row>
    <row r="96" ht="15.75" customHeight="1">
      <c r="D96" s="247"/>
    </row>
    <row r="97" ht="15.75" customHeight="1">
      <c r="D97" s="247"/>
    </row>
    <row r="98" ht="15.75" customHeight="1">
      <c r="D98" s="247"/>
    </row>
    <row r="99" ht="15.75" customHeight="1">
      <c r="D99" s="247"/>
    </row>
    <row r="100" ht="15.75" customHeight="1">
      <c r="D100" s="247"/>
    </row>
    <row r="101" ht="15.75" customHeight="1">
      <c r="D101" s="247"/>
    </row>
    <row r="102" ht="15.75" customHeight="1">
      <c r="D102" s="247"/>
    </row>
    <row r="103" ht="15.75" customHeight="1">
      <c r="D103" s="247"/>
    </row>
    <row r="104" ht="15.75" customHeight="1">
      <c r="D104" s="247"/>
    </row>
    <row r="105" ht="15.75" customHeight="1">
      <c r="D105" s="247"/>
    </row>
    <row r="106" ht="15.75" customHeight="1">
      <c r="D106" s="247"/>
    </row>
    <row r="107" ht="15.75" customHeight="1">
      <c r="D107" s="247"/>
    </row>
    <row r="108" ht="15.75" customHeight="1">
      <c r="D108" s="247"/>
    </row>
    <row r="109" ht="15.75" customHeight="1">
      <c r="D109" s="247"/>
    </row>
    <row r="110" ht="15.75" customHeight="1">
      <c r="D110" s="247"/>
    </row>
    <row r="111" ht="15.75" customHeight="1">
      <c r="D111" s="247"/>
    </row>
    <row r="112" ht="15.75" customHeight="1">
      <c r="D112" s="247"/>
    </row>
    <row r="113" ht="15.75" customHeight="1">
      <c r="D113" s="247"/>
    </row>
    <row r="114" ht="15.75" customHeight="1">
      <c r="D114" s="247"/>
    </row>
    <row r="115" ht="15.75" customHeight="1">
      <c r="D115" s="247"/>
    </row>
    <row r="116" ht="15.75" customHeight="1">
      <c r="D116" s="247"/>
    </row>
    <row r="117" ht="15.75" customHeight="1">
      <c r="D117" s="247"/>
    </row>
    <row r="118" ht="15.75" customHeight="1">
      <c r="D118" s="247"/>
    </row>
    <row r="119" ht="15.75" customHeight="1">
      <c r="D119" s="247"/>
    </row>
    <row r="120" ht="15.75" customHeight="1">
      <c r="D120" s="247"/>
    </row>
    <row r="121" ht="15.75" customHeight="1">
      <c r="D121" s="247"/>
    </row>
    <row r="122" ht="15.75" customHeight="1">
      <c r="D122" s="247"/>
    </row>
    <row r="123" ht="15.75" customHeight="1">
      <c r="D123" s="247"/>
    </row>
    <row r="124" ht="15.75" customHeight="1">
      <c r="D124" s="247"/>
    </row>
    <row r="125" ht="15.75" customHeight="1">
      <c r="D125" s="247"/>
    </row>
    <row r="126" ht="15.75" customHeight="1">
      <c r="D126" s="247"/>
    </row>
    <row r="127" ht="15.75" customHeight="1">
      <c r="D127" s="247"/>
    </row>
    <row r="128" ht="15.75" customHeight="1">
      <c r="D128" s="247"/>
    </row>
    <row r="129" ht="15.75" customHeight="1">
      <c r="D129" s="247"/>
    </row>
    <row r="130" ht="15.75" customHeight="1">
      <c r="D130" s="247"/>
    </row>
    <row r="131" ht="15.75" customHeight="1">
      <c r="D131" s="247"/>
    </row>
    <row r="132" ht="15.75" customHeight="1">
      <c r="D132" s="247"/>
    </row>
    <row r="133" ht="15.75" customHeight="1">
      <c r="D133" s="247"/>
    </row>
    <row r="134" ht="15.75" customHeight="1">
      <c r="D134" s="247"/>
    </row>
    <row r="135" ht="15.75" customHeight="1">
      <c r="D135" s="247"/>
    </row>
    <row r="136" ht="15.75" customHeight="1">
      <c r="D136" s="247"/>
    </row>
    <row r="137" ht="15.75" customHeight="1">
      <c r="D137" s="247"/>
    </row>
    <row r="138" ht="15.75" customHeight="1">
      <c r="D138" s="247"/>
    </row>
    <row r="139" ht="15.75" customHeight="1">
      <c r="D139" s="247"/>
    </row>
    <row r="140" ht="15.75" customHeight="1">
      <c r="D140" s="247"/>
    </row>
    <row r="141" ht="15.75" customHeight="1">
      <c r="D141" s="247"/>
    </row>
    <row r="142" ht="15.75" customHeight="1">
      <c r="D142" s="247"/>
    </row>
    <row r="143" ht="15.75" customHeight="1">
      <c r="D143" s="247"/>
    </row>
    <row r="144" ht="15.75" customHeight="1">
      <c r="D144" s="247"/>
    </row>
    <row r="145" ht="15.75" customHeight="1">
      <c r="D145" s="247"/>
    </row>
    <row r="146" ht="15.75" customHeight="1">
      <c r="D146" s="247"/>
    </row>
    <row r="147" ht="15.75" customHeight="1">
      <c r="D147" s="247"/>
    </row>
    <row r="148" ht="15.75" customHeight="1">
      <c r="D148" s="247"/>
    </row>
    <row r="149" ht="15.75" customHeight="1">
      <c r="D149" s="247"/>
    </row>
    <row r="150" ht="15.75" customHeight="1">
      <c r="D150" s="247"/>
    </row>
    <row r="151" ht="15.75" customHeight="1">
      <c r="D151" s="247"/>
    </row>
    <row r="152" ht="15.75" customHeight="1">
      <c r="D152" s="247"/>
    </row>
    <row r="153" ht="15.75" customHeight="1">
      <c r="D153" s="247"/>
    </row>
    <row r="154" ht="15.75" customHeight="1">
      <c r="D154" s="247"/>
    </row>
    <row r="155" ht="15.75" customHeight="1">
      <c r="D155" s="247"/>
    </row>
    <row r="156" ht="15.75" customHeight="1">
      <c r="D156" s="247"/>
    </row>
    <row r="157" ht="15.75" customHeight="1">
      <c r="D157" s="247"/>
    </row>
    <row r="158" ht="15.75" customHeight="1">
      <c r="D158" s="247"/>
    </row>
    <row r="159" ht="15.75" customHeight="1">
      <c r="D159" s="247"/>
    </row>
    <row r="160" ht="15.75" customHeight="1">
      <c r="D160" s="247"/>
    </row>
    <row r="161" ht="15.75" customHeight="1">
      <c r="D161" s="247"/>
    </row>
    <row r="162" ht="15.75" customHeight="1">
      <c r="D162" s="247"/>
    </row>
    <row r="163" ht="15.75" customHeight="1">
      <c r="D163" s="247"/>
    </row>
    <row r="164" ht="15.75" customHeight="1">
      <c r="D164" s="247"/>
    </row>
    <row r="165" ht="15.75" customHeight="1">
      <c r="D165" s="247"/>
    </row>
    <row r="166" ht="15.75" customHeight="1">
      <c r="D166" s="247"/>
    </row>
    <row r="167" ht="15.75" customHeight="1">
      <c r="D167" s="247"/>
    </row>
    <row r="168" ht="15.75" customHeight="1">
      <c r="D168" s="247"/>
    </row>
    <row r="169" ht="15.75" customHeight="1">
      <c r="D169" s="247"/>
    </row>
    <row r="170" ht="15.75" customHeight="1">
      <c r="D170" s="247"/>
    </row>
    <row r="171" ht="15.75" customHeight="1">
      <c r="D171" s="247"/>
    </row>
    <row r="172" ht="15.75" customHeight="1">
      <c r="D172" s="247"/>
    </row>
    <row r="173" ht="15.75" customHeight="1">
      <c r="D173" s="247"/>
    </row>
    <row r="174" ht="15.75" customHeight="1">
      <c r="D174" s="247"/>
    </row>
    <row r="175" ht="15.75" customHeight="1">
      <c r="D175" s="247"/>
    </row>
    <row r="176" ht="15.75" customHeight="1">
      <c r="D176" s="247"/>
    </row>
    <row r="177" ht="15.75" customHeight="1">
      <c r="D177" s="247"/>
    </row>
    <row r="178" ht="15.75" customHeight="1">
      <c r="D178" s="247"/>
    </row>
    <row r="179" ht="15.75" customHeight="1">
      <c r="D179" s="247"/>
    </row>
    <row r="180" ht="15.75" customHeight="1">
      <c r="D180" s="247"/>
    </row>
    <row r="181" ht="15.75" customHeight="1">
      <c r="D181" s="247"/>
    </row>
    <row r="182" ht="15.75" customHeight="1">
      <c r="D182" s="247"/>
    </row>
    <row r="183" ht="15.75" customHeight="1">
      <c r="D183" s="247"/>
    </row>
    <row r="184" ht="15.75" customHeight="1">
      <c r="D184" s="247"/>
    </row>
    <row r="185" ht="15.75" customHeight="1">
      <c r="D185" s="247"/>
    </row>
    <row r="186" ht="15.75" customHeight="1">
      <c r="D186" s="247"/>
    </row>
    <row r="187" ht="15.75" customHeight="1">
      <c r="D187" s="247"/>
    </row>
    <row r="188" ht="15.75" customHeight="1">
      <c r="D188" s="247"/>
    </row>
    <row r="189" ht="15.75" customHeight="1">
      <c r="D189" s="247"/>
    </row>
    <row r="190" ht="15.75" customHeight="1">
      <c r="D190" s="247"/>
    </row>
    <row r="191" ht="15.75" customHeight="1">
      <c r="D191" s="247"/>
    </row>
    <row r="192" ht="15.75" customHeight="1">
      <c r="D192" s="247"/>
    </row>
    <row r="193" ht="15.75" customHeight="1">
      <c r="D193" s="247"/>
    </row>
    <row r="194" ht="15.75" customHeight="1">
      <c r="D194" s="247"/>
    </row>
    <row r="195" ht="15.75" customHeight="1">
      <c r="D195" s="247"/>
    </row>
    <row r="196" ht="15.75" customHeight="1">
      <c r="D196" s="247"/>
    </row>
    <row r="197" ht="15.75" customHeight="1">
      <c r="D197" s="247"/>
    </row>
    <row r="198" ht="15.75" customHeight="1">
      <c r="D198" s="247"/>
    </row>
    <row r="199" ht="15.75" customHeight="1">
      <c r="D199" s="247"/>
    </row>
    <row r="200" ht="15.75" customHeight="1">
      <c r="D200" s="247"/>
    </row>
    <row r="201" ht="15.75" customHeight="1">
      <c r="D201" s="247"/>
    </row>
    <row r="202" ht="15.75" customHeight="1">
      <c r="D202" s="247"/>
    </row>
    <row r="203" ht="15.75" customHeight="1">
      <c r="D203" s="247"/>
    </row>
    <row r="204" ht="15.75" customHeight="1">
      <c r="D204" s="247"/>
    </row>
    <row r="205" ht="15.75" customHeight="1">
      <c r="D205" s="247"/>
    </row>
    <row r="206" ht="15.75" customHeight="1">
      <c r="D206" s="247"/>
    </row>
    <row r="207" ht="15.75" customHeight="1">
      <c r="D207" s="247"/>
    </row>
    <row r="208" ht="15.75" customHeight="1">
      <c r="D208" s="247"/>
    </row>
    <row r="209" ht="15.75" customHeight="1">
      <c r="D209" s="247"/>
    </row>
    <row r="210" ht="15.75" customHeight="1">
      <c r="D210" s="247"/>
    </row>
    <row r="211" ht="15.75" customHeight="1">
      <c r="D211" s="247"/>
    </row>
    <row r="212" ht="15.75" customHeight="1">
      <c r="D212" s="247"/>
    </row>
    <row r="213" ht="15.75" customHeight="1">
      <c r="D213" s="247"/>
    </row>
    <row r="214" ht="15.75" customHeight="1">
      <c r="D214" s="247"/>
    </row>
    <row r="215" ht="15.75" customHeight="1">
      <c r="D215" s="247"/>
    </row>
    <row r="216" ht="15.75" customHeight="1">
      <c r="D216" s="247"/>
    </row>
    <row r="217" ht="15.75" customHeight="1">
      <c r="D217" s="247"/>
    </row>
    <row r="218" ht="15.75" customHeight="1">
      <c r="D218" s="247"/>
    </row>
    <row r="219" ht="15.75" customHeight="1">
      <c r="D219" s="247"/>
    </row>
    <row r="220" ht="15.75" customHeight="1">
      <c r="D220" s="24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1" t="s">
        <v>125</v>
      </c>
      <c r="B1" s="291" t="s">
        <v>10</v>
      </c>
      <c r="C1" s="291" t="s">
        <v>115</v>
      </c>
      <c r="D1" s="292" t="s">
        <v>116</v>
      </c>
      <c r="E1" s="291" t="s">
        <v>17</v>
      </c>
      <c r="F1" s="291" t="s">
        <v>115</v>
      </c>
      <c r="G1" s="292" t="s">
        <v>116</v>
      </c>
      <c r="H1" s="291" t="s">
        <v>25</v>
      </c>
      <c r="I1" s="291" t="s">
        <v>115</v>
      </c>
      <c r="J1" s="291" t="s">
        <v>116</v>
      </c>
      <c r="K1" s="293" t="s">
        <v>129</v>
      </c>
      <c r="L1" s="291" t="s">
        <v>115</v>
      </c>
      <c r="M1" s="291" t="s">
        <v>116</v>
      </c>
      <c r="N1" s="293" t="s">
        <v>130</v>
      </c>
      <c r="O1" s="291" t="s">
        <v>115</v>
      </c>
      <c r="P1" s="291" t="s">
        <v>116</v>
      </c>
      <c r="Q1" s="291" t="s">
        <v>43</v>
      </c>
      <c r="R1" s="291" t="s">
        <v>115</v>
      </c>
      <c r="S1" s="291" t="s">
        <v>116</v>
      </c>
      <c r="T1" s="291" t="s">
        <v>50</v>
      </c>
      <c r="U1" s="291" t="s">
        <v>115</v>
      </c>
      <c r="V1" s="291" t="s">
        <v>116</v>
      </c>
      <c r="W1" s="291" t="s">
        <v>51</v>
      </c>
      <c r="X1" s="291" t="s">
        <v>115</v>
      </c>
      <c r="Y1" s="291" t="s">
        <v>116</v>
      </c>
      <c r="Z1" s="294" t="s">
        <v>58</v>
      </c>
      <c r="AA1" s="291" t="s">
        <v>115</v>
      </c>
      <c r="AB1" s="291" t="s">
        <v>116</v>
      </c>
      <c r="AC1" s="291" t="s">
        <v>65</v>
      </c>
      <c r="AD1" s="291" t="s">
        <v>115</v>
      </c>
      <c r="AE1" s="291" t="s">
        <v>116</v>
      </c>
      <c r="AF1" s="291" t="s">
        <v>66</v>
      </c>
      <c r="AG1" s="291" t="s">
        <v>115</v>
      </c>
      <c r="AH1" s="291" t="s">
        <v>116</v>
      </c>
      <c r="AI1" s="291" t="s">
        <v>73</v>
      </c>
      <c r="AJ1" s="291" t="s">
        <v>115</v>
      </c>
      <c r="AK1" s="291" t="s">
        <v>116</v>
      </c>
      <c r="AL1" s="291" t="s">
        <v>131</v>
      </c>
      <c r="AM1" s="291" t="s">
        <v>115</v>
      </c>
      <c r="AN1" s="291" t="s">
        <v>116</v>
      </c>
      <c r="AO1" s="291" t="s">
        <v>132</v>
      </c>
      <c r="AP1" s="291" t="s">
        <v>133</v>
      </c>
      <c r="AQ1" s="291" t="s">
        <v>135</v>
      </c>
      <c r="AR1" s="291" t="s">
        <v>136</v>
      </c>
      <c r="AS1" s="291" t="s">
        <v>137</v>
      </c>
      <c r="AT1" s="291" t="s">
        <v>138</v>
      </c>
      <c r="AU1" s="291" t="s">
        <v>139</v>
      </c>
    </row>
    <row r="2">
      <c r="A2" s="295" t="s">
        <v>117</v>
      </c>
      <c r="B2" s="332" t="str">
        <f>100%+'Quaterly Tables'!I3</f>
        <v>#REF!</v>
      </c>
      <c r="C2" s="319" t="str">
        <f t="shared" ref="C2:C6" si="1">IFS(B2="", "", B2&lt;90%,0, B2&lt;95%,1, B2&lt;=98%,2, B2&lt;=101%,3, B2&lt;=105%,4, TRUE,5)</f>
        <v>#REF!</v>
      </c>
      <c r="D2" s="320" t="str">
        <f t="shared" ref="D2:D6" si="2">IF(C2="","",C2*5/100)</f>
        <v>#REF!</v>
      </c>
      <c r="E2" s="321" t="str">
        <f>100%+'Quaterly Tables'!F3</f>
        <v>#REF!</v>
      </c>
      <c r="F2" s="322" t="str">
        <f t="shared" ref="F2:F6" si="3">IFS(E2="", "", E2&lt;90%,0, E2&lt;95%,1, E2&lt;=98%,2, E2&lt;=101%,3, E2&lt;=105%,4, TRUE,5)</f>
        <v>#REF!</v>
      </c>
      <c r="G2" s="323" t="str">
        <f t="shared" ref="G2:G6" si="4">IF(F2="","",F2*5/100)</f>
        <v>#REF!</v>
      </c>
      <c r="H2" s="332" t="str">
        <f>100%+'Quaterly Tables'!V3</f>
        <v>#REF!</v>
      </c>
      <c r="I2" s="319" t="str">
        <f t="shared" ref="I2:I6" si="5">IFS(H2="", "", H2&lt;75%,0, H2&lt;85%,1, H2&lt;95%,2, H2&lt;=100%,3, H2&lt;=105%,4, TRUE,5)</f>
        <v>#REF!</v>
      </c>
      <c r="J2" s="330" t="str">
        <f t="shared" ref="J2:J6" si="6">IF(I2="","",I2*15/100)</f>
        <v>#REF!</v>
      </c>
      <c r="K2" s="327" t="str">
        <f>'Quaterly Tables'!L3*100</f>
        <v>#REF!</v>
      </c>
      <c r="L2" s="322" t="str">
        <f t="shared" ref="L2:L6" si="7">IFS(K2="", "", K2&gt;=3,0, K2&gt;=2,1, K2&gt;=1,2, K2&gt;=0,3, K2&lt;=-1,5, K2&lt;=-0.5,4, TRUE,3)</f>
        <v>#REF!</v>
      </c>
      <c r="M2" s="328" t="str">
        <f t="shared" ref="M2:M6" si="8">IF(L2="","",L2*12.5/100)</f>
        <v>#REF!</v>
      </c>
      <c r="N2" s="329" t="str">
        <f>'Quaterly Tables'!O3*100</f>
        <v>#REF!</v>
      </c>
      <c r="O2" s="319" t="str">
        <f t="shared" ref="O2:O6" si="9">IFS(N2="", "", N2&gt;=3,0, N2&gt;=2,1, N2&gt;=1,2, N2&gt;=0,3, N2&lt;=-1,5, N2&lt;=-0.5,4, TRUE,3)</f>
        <v>#REF!</v>
      </c>
      <c r="P2" s="330" t="str">
        <f t="shared" ref="P2:P6" si="10">IF(O2="","",O2*12.5/100)</f>
        <v>#REF!</v>
      </c>
      <c r="Q2" s="391">
        <f>'Quaterly Tables'!H12</f>
        <v>5</v>
      </c>
      <c r="R2" s="297">
        <f t="shared" ref="R2:R6" si="11">IFS(Q2="", "", Q2="NA","" ,Q2&lt;3.8,0, Q2&lt;4,1, Q2&lt;4.3,2, Q2&lt;4.5,3, Q2&lt;4.7,4, TRUE,5)</f>
        <v>5</v>
      </c>
      <c r="S2" s="328">
        <f t="shared" ref="S2:S6" si="12">IF(R2="","",R2*17.5/100)</f>
        <v>0.875</v>
      </c>
      <c r="T2" s="332" t="str">
        <f>'Quaterly Tables'!F12</f>
        <v>NA</v>
      </c>
      <c r="U2" s="319" t="str">
        <f t="shared" ref="U2:U6" si="13">IFS(T2="", "", T2="NA","" ,T2&lt;3.8,0, T2&lt;4,1, T2&lt;4.3,2, T2&lt;4.5,3, T2&lt;4.7,4, TRUE,5)</f>
        <v/>
      </c>
      <c r="V2" s="330" t="str">
        <f t="shared" ref="V2:V6" si="14">IF(U2="","",U2*7.5/100)</f>
        <v/>
      </c>
      <c r="W2" s="333">
        <f>'Quaterly Tables'!I20</f>
        <v>0.0405</v>
      </c>
      <c r="X2" s="322">
        <f t="shared" ref="X2:X6" si="15">IFS(W2="", "", W2&gt;6%,0, W2&gt;4%,1, W2&gt;2%,2, W2&gt;1.5%,3, W2&gt;1%,4, TRUE,5)</f>
        <v>1</v>
      </c>
      <c r="Y2" s="328">
        <f t="shared" ref="Y2:Y6" si="16">IF(X2="","",X2*10/100)</f>
        <v>0.1</v>
      </c>
      <c r="Z2" s="334">
        <f>'Quaterly Tables'!H31</f>
        <v>0.57</v>
      </c>
      <c r="AA2" s="319">
        <f t="shared" ref="AA2:AA6" si="17">IFS(Z2="","", VALUE(Z2)&gt;8,0, VALUE(Z2)&gt;5,1, VALUE(Z2)&gt;2,2, VALUE(Z2)&gt;1.5,3, VALUE(Z2)&gt;1,4, TRUE,5)</f>
        <v>5</v>
      </c>
      <c r="AB2" s="330">
        <f t="shared" ref="AB2:AB6" si="18">IF(AA2="","",AA2*7.5/100)</f>
        <v>0.375</v>
      </c>
      <c r="AC2" s="335">
        <f>'Quaterly Tables'!E20</f>
        <v>4</v>
      </c>
      <c r="AD2" s="322">
        <f t="shared" ref="AD2:AD6" si="19">IFS(AC2="", "", AC2&lt;3.8,0, AC2&lt;4,1, AC2&lt;4.3,2, AC2&lt;4.5,3, AC2&lt;4.7,4, TRUE,5)</f>
        <v>2</v>
      </c>
      <c r="AE2" s="328">
        <f t="shared" ref="AE2:AE6" si="20">IF(AD2="","",AD2*7.5/100)</f>
        <v>0.15</v>
      </c>
      <c r="AF2" s="336">
        <v>86.0</v>
      </c>
      <c r="AG2" s="319">
        <f t="shared" ref="AG2:AG6" si="21">IFS(AF2="", "", AF2&lt;70,0, AF2&lt;75,1, AF2&lt;83,2, AF2&lt;89,3, AF2&lt;94,4, TRUE,5)</f>
        <v>3</v>
      </c>
      <c r="AH2" s="330">
        <f t="shared" ref="AH2:AH6" si="22">IF(AG2="","",AG2*12.5/100)</f>
        <v>0.375</v>
      </c>
      <c r="AI2" s="337">
        <v>90.0</v>
      </c>
      <c r="AJ2" s="322">
        <f t="shared" ref="AJ2:AJ6" si="23">IFS(AI2="", "", AI2&lt;70,0, AI2&lt;75,1, AI2&lt;83,2, AI2&lt;89,3, AI2&lt;94,4, TRUE,5)</f>
        <v>4</v>
      </c>
      <c r="AK2" s="328">
        <f t="shared" ref="AK2:AK6" si="24">IF(AJ2="","",AJ2*6.25/100)</f>
        <v>0.25</v>
      </c>
      <c r="AL2" s="336">
        <v>95.0</v>
      </c>
      <c r="AM2" s="319">
        <f t="shared" ref="AM2:AM6" si="25">IFS(AL2="", "", AL2&lt;70,0, AL2&lt;75,1, AL2&lt;83,2, AL2&lt;89,3, AL2&lt;94,4, TRUE,5)</f>
        <v>5</v>
      </c>
      <c r="AN2" s="330">
        <f t="shared" ref="AN2:AN6" si="26">IF(AM2="","",AM2*6.25/100)</f>
        <v>0.3125</v>
      </c>
      <c r="AO2" s="338">
        <v>89.0</v>
      </c>
      <c r="AP2" s="317" t="str">
        <f t="shared" ref="AP2:AP6" si="27">SUM(D2,G2,J2,M2,P2,S2,V2,Y2,AB2,AE2,AH2,AK2,AN2)</f>
        <v>#REF!</v>
      </c>
      <c r="AQ2" s="392" t="str">
        <f t="shared" ref="AQ2:AQ6" si="28">IF(AND(AP2&gt;=2.7,AO2&gt;=87),"Eligible","Not Eligible")</f>
        <v>#REF!</v>
      </c>
      <c r="AR2" s="393" t="str">
        <f t="shared" ref="AR2:AR6" si="29">IF(AQ2&lt;&gt;"Eligible",0,IF(AP2&lt;3.7,0.5,IF(AP2&lt;4.7,0.75,1)))</f>
        <v>#REF!</v>
      </c>
      <c r="AS2" s="394">
        <v>10000.0</v>
      </c>
      <c r="AT2" s="395" t="str">
        <f t="shared" ref="AT2:AT6" si="30">AS2*AR2</f>
        <v>#REF!</v>
      </c>
      <c r="AU2" s="395" t="str">
        <f t="shared" ref="AU2:AU6" si="31">AT2/4</f>
        <v>#REF!</v>
      </c>
    </row>
    <row r="3">
      <c r="A3" s="295" t="s">
        <v>118</v>
      </c>
      <c r="B3" s="332" t="str">
        <f>100%+'Quaterly Tables'!I4</f>
        <v>#DIV/0!</v>
      </c>
      <c r="C3" s="319" t="str">
        <f t="shared" si="1"/>
        <v>#DIV/0!</v>
      </c>
      <c r="D3" s="320" t="str">
        <f t="shared" si="2"/>
        <v>#DIV/0!</v>
      </c>
      <c r="E3" s="321" t="str">
        <f>100%+'Quaterly Tables'!F4</f>
        <v>#DIV/0!</v>
      </c>
      <c r="F3" s="322" t="str">
        <f t="shared" si="3"/>
        <v>#DIV/0!</v>
      </c>
      <c r="G3" s="323" t="str">
        <f t="shared" si="4"/>
        <v>#DIV/0!</v>
      </c>
      <c r="H3" s="396">
        <f>100%+'Quaterly Tables'!V4</f>
        <v>1</v>
      </c>
      <c r="I3" s="319">
        <f t="shared" si="5"/>
        <v>3</v>
      </c>
      <c r="J3" s="330">
        <f t="shared" si="6"/>
        <v>0.45</v>
      </c>
      <c r="K3" s="327">
        <f>'Quaterly Tables'!L4*100</f>
        <v>0</v>
      </c>
      <c r="L3" s="322">
        <f t="shared" si="7"/>
        <v>3</v>
      </c>
      <c r="M3" s="328">
        <f t="shared" si="8"/>
        <v>0.375</v>
      </c>
      <c r="N3" s="329">
        <f>'Quaterly Tables'!O4*100</f>
        <v>0</v>
      </c>
      <c r="O3" s="319">
        <f t="shared" si="9"/>
        <v>3</v>
      </c>
      <c r="P3" s="330">
        <f t="shared" si="10"/>
        <v>0.375</v>
      </c>
      <c r="Q3" s="331">
        <f>'Quaterly Tables'!H15</f>
        <v>4.75</v>
      </c>
      <c r="R3" s="319">
        <f t="shared" si="11"/>
        <v>5</v>
      </c>
      <c r="S3" s="328">
        <f t="shared" si="12"/>
        <v>0.875</v>
      </c>
      <c r="T3" s="332">
        <f>'Quaterly Tables'!F15</f>
        <v>4</v>
      </c>
      <c r="U3" s="319">
        <f t="shared" si="13"/>
        <v>2</v>
      </c>
      <c r="V3" s="330">
        <f t="shared" si="14"/>
        <v>0.15</v>
      </c>
      <c r="W3" s="333">
        <f>'Quaterly Tables'!I23</f>
        <v>0.0315</v>
      </c>
      <c r="X3" s="322">
        <f t="shared" si="15"/>
        <v>2</v>
      </c>
      <c r="Y3" s="328">
        <f t="shared" si="16"/>
        <v>0.2</v>
      </c>
      <c r="Z3" s="334">
        <f>'Quaterly Tables'!H34</f>
        <v>1.48</v>
      </c>
      <c r="AA3" s="319">
        <f t="shared" si="17"/>
        <v>4</v>
      </c>
      <c r="AB3" s="330">
        <f t="shared" si="18"/>
        <v>0.3</v>
      </c>
      <c r="AC3" s="335">
        <f>'Quaterly Tables'!E23</f>
        <v>4.4</v>
      </c>
      <c r="AD3" s="322">
        <f t="shared" si="19"/>
        <v>3</v>
      </c>
      <c r="AE3" s="328">
        <f t="shared" si="20"/>
        <v>0.225</v>
      </c>
      <c r="AF3" s="336">
        <v>67.0</v>
      </c>
      <c r="AG3" s="319">
        <f t="shared" si="21"/>
        <v>0</v>
      </c>
      <c r="AH3" s="330">
        <f t="shared" si="22"/>
        <v>0</v>
      </c>
      <c r="AI3" s="337">
        <v>70.0</v>
      </c>
      <c r="AJ3" s="322">
        <f t="shared" si="23"/>
        <v>1</v>
      </c>
      <c r="AK3" s="328">
        <f t="shared" si="24"/>
        <v>0.0625</v>
      </c>
      <c r="AL3" s="336">
        <v>76.0</v>
      </c>
      <c r="AM3" s="319">
        <f t="shared" si="25"/>
        <v>2</v>
      </c>
      <c r="AN3" s="330">
        <f t="shared" si="26"/>
        <v>0.125</v>
      </c>
      <c r="AO3" s="338">
        <v>87.0</v>
      </c>
      <c r="AP3" s="317" t="str">
        <f t="shared" si="27"/>
        <v>#DIV/0!</v>
      </c>
      <c r="AQ3" s="392" t="str">
        <f t="shared" si="28"/>
        <v>#DIV/0!</v>
      </c>
      <c r="AR3" s="393" t="str">
        <f t="shared" si="29"/>
        <v>#DIV/0!</v>
      </c>
      <c r="AS3" s="394">
        <v>10000.0</v>
      </c>
      <c r="AT3" s="395" t="str">
        <f t="shared" si="30"/>
        <v>#DIV/0!</v>
      </c>
      <c r="AU3" s="395" t="str">
        <f t="shared" si="31"/>
        <v>#DIV/0!</v>
      </c>
    </row>
    <row r="4">
      <c r="A4" s="295" t="s">
        <v>119</v>
      </c>
      <c r="B4" s="332" t="str">
        <f>100%+'Quaterly Tables'!I5</f>
        <v>#DIV/0!</v>
      </c>
      <c r="C4" s="319" t="str">
        <f t="shared" si="1"/>
        <v>#DIV/0!</v>
      </c>
      <c r="D4" s="320" t="str">
        <f t="shared" si="2"/>
        <v>#DIV/0!</v>
      </c>
      <c r="E4" s="321" t="str">
        <f>100%+'Quaterly Tables'!F5</f>
        <v>#DIV/0!</v>
      </c>
      <c r="F4" s="322" t="str">
        <f t="shared" si="3"/>
        <v>#DIV/0!</v>
      </c>
      <c r="G4" s="323" t="str">
        <f t="shared" si="4"/>
        <v>#DIV/0!</v>
      </c>
      <c r="H4" s="396">
        <f>100%+'Quaterly Tables'!V5</f>
        <v>1</v>
      </c>
      <c r="I4" s="319">
        <f t="shared" si="5"/>
        <v>3</v>
      </c>
      <c r="J4" s="330">
        <f t="shared" si="6"/>
        <v>0.45</v>
      </c>
      <c r="K4" s="327">
        <f>'Quaterly Tables'!L5*100</f>
        <v>0</v>
      </c>
      <c r="L4" s="322">
        <f t="shared" si="7"/>
        <v>3</v>
      </c>
      <c r="M4" s="328">
        <f t="shared" si="8"/>
        <v>0.375</v>
      </c>
      <c r="N4" s="329">
        <f>'Quaterly Tables'!O5*100</f>
        <v>0</v>
      </c>
      <c r="O4" s="319">
        <f t="shared" si="9"/>
        <v>3</v>
      </c>
      <c r="P4" s="330">
        <f t="shared" si="10"/>
        <v>0.375</v>
      </c>
      <c r="Q4" s="331">
        <f>'Quaterly Tables'!H13</f>
        <v>3.97</v>
      </c>
      <c r="R4" s="319">
        <f t="shared" si="11"/>
        <v>1</v>
      </c>
      <c r="S4" s="328">
        <f t="shared" si="12"/>
        <v>0.175</v>
      </c>
      <c r="T4" s="332">
        <f>'Quaterly Tables'!F13</f>
        <v>1</v>
      </c>
      <c r="U4" s="319">
        <f t="shared" si="13"/>
        <v>0</v>
      </c>
      <c r="V4" s="330">
        <f t="shared" si="14"/>
        <v>0</v>
      </c>
      <c r="W4" s="333">
        <f>'Quaterly Tables'!I21</f>
        <v>0.0264</v>
      </c>
      <c r="X4" s="322">
        <f t="shared" si="15"/>
        <v>2</v>
      </c>
      <c r="Y4" s="328">
        <f t="shared" si="16"/>
        <v>0.2</v>
      </c>
      <c r="Z4" s="334">
        <f>'Quaterly Tables'!H32</f>
        <v>0.59</v>
      </c>
      <c r="AA4" s="319">
        <f t="shared" si="17"/>
        <v>5</v>
      </c>
      <c r="AB4" s="330">
        <f t="shared" si="18"/>
        <v>0.375</v>
      </c>
      <c r="AC4" s="335">
        <f>'Quaterly Tables'!E21</f>
        <v>4.5</v>
      </c>
      <c r="AD4" s="322">
        <f t="shared" si="19"/>
        <v>4</v>
      </c>
      <c r="AE4" s="328">
        <f t="shared" si="20"/>
        <v>0.3</v>
      </c>
      <c r="AF4" s="336">
        <v>72.0</v>
      </c>
      <c r="AG4" s="319">
        <f t="shared" si="21"/>
        <v>1</v>
      </c>
      <c r="AH4" s="330">
        <f t="shared" si="22"/>
        <v>0.125</v>
      </c>
      <c r="AI4" s="337">
        <v>76.0</v>
      </c>
      <c r="AJ4" s="322">
        <f t="shared" si="23"/>
        <v>2</v>
      </c>
      <c r="AK4" s="328">
        <f t="shared" si="24"/>
        <v>0.125</v>
      </c>
      <c r="AL4" s="336">
        <v>78.0</v>
      </c>
      <c r="AM4" s="319">
        <f t="shared" si="25"/>
        <v>2</v>
      </c>
      <c r="AN4" s="330">
        <f t="shared" si="26"/>
        <v>0.125</v>
      </c>
      <c r="AO4" s="338">
        <v>93.0</v>
      </c>
      <c r="AP4" s="317" t="str">
        <f t="shared" si="27"/>
        <v>#DIV/0!</v>
      </c>
      <c r="AQ4" s="392" t="str">
        <f t="shared" si="28"/>
        <v>#DIV/0!</v>
      </c>
      <c r="AR4" s="393" t="str">
        <f t="shared" si="29"/>
        <v>#DIV/0!</v>
      </c>
      <c r="AS4" s="394">
        <v>10000.0</v>
      </c>
      <c r="AT4" s="395" t="str">
        <f t="shared" si="30"/>
        <v>#DIV/0!</v>
      </c>
      <c r="AU4" s="395" t="str">
        <f t="shared" si="31"/>
        <v>#DIV/0!</v>
      </c>
    </row>
    <row r="5">
      <c r="A5" s="295" t="s">
        <v>120</v>
      </c>
      <c r="B5" s="332" t="str">
        <f>100%+'Quaterly Tables'!I6</f>
        <v>#DIV/0!</v>
      </c>
      <c r="C5" s="319" t="str">
        <f t="shared" si="1"/>
        <v>#DIV/0!</v>
      </c>
      <c r="D5" s="320" t="str">
        <f t="shared" si="2"/>
        <v>#DIV/0!</v>
      </c>
      <c r="E5" s="321" t="str">
        <f>100%+'Quaterly Tables'!F6</f>
        <v>#DIV/0!</v>
      </c>
      <c r="F5" s="322" t="str">
        <f t="shared" si="3"/>
        <v>#DIV/0!</v>
      </c>
      <c r="G5" s="323" t="str">
        <f t="shared" si="4"/>
        <v>#DIV/0!</v>
      </c>
      <c r="H5" s="396">
        <f>100%+'Quaterly Tables'!V6</f>
        <v>1</v>
      </c>
      <c r="I5" s="319">
        <f t="shared" si="5"/>
        <v>3</v>
      </c>
      <c r="J5" s="330">
        <f t="shared" si="6"/>
        <v>0.45</v>
      </c>
      <c r="K5" s="327">
        <f>'Quaterly Tables'!L6*100</f>
        <v>0</v>
      </c>
      <c r="L5" s="322">
        <f t="shared" si="7"/>
        <v>3</v>
      </c>
      <c r="M5" s="328">
        <f t="shared" si="8"/>
        <v>0.375</v>
      </c>
      <c r="N5" s="329">
        <f>'Quaterly Tables'!O6*100</f>
        <v>0</v>
      </c>
      <c r="O5" s="319">
        <f t="shared" si="9"/>
        <v>3</v>
      </c>
      <c r="P5" s="330">
        <f t="shared" si="10"/>
        <v>0.375</v>
      </c>
      <c r="Q5" s="331">
        <f>'Quaterly Tables'!H14</f>
        <v>4.33</v>
      </c>
      <c r="R5" s="319">
        <f t="shared" si="11"/>
        <v>3</v>
      </c>
      <c r="S5" s="328">
        <f t="shared" si="12"/>
        <v>0.525</v>
      </c>
      <c r="T5" s="332" t="str">
        <f>'Quaterly Tables'!F14</f>
        <v>NA</v>
      </c>
      <c r="U5" s="319" t="str">
        <f t="shared" si="13"/>
        <v/>
      </c>
      <c r="V5" s="330" t="str">
        <f t="shared" si="14"/>
        <v/>
      </c>
      <c r="W5" s="333">
        <f>'Quaterly Tables'!I22</f>
        <v>0.0315</v>
      </c>
      <c r="X5" s="322">
        <f t="shared" si="15"/>
        <v>2</v>
      </c>
      <c r="Y5" s="328">
        <f t="shared" si="16"/>
        <v>0.2</v>
      </c>
      <c r="Z5" s="334">
        <f>'Quaterly Tables'!H33</f>
        <v>1.14</v>
      </c>
      <c r="AA5" s="319">
        <f t="shared" si="17"/>
        <v>4</v>
      </c>
      <c r="AB5" s="330">
        <f t="shared" si="18"/>
        <v>0.3</v>
      </c>
      <c r="AC5" s="335">
        <f>'Quaterly Tables'!E22</f>
        <v>4.3</v>
      </c>
      <c r="AD5" s="322">
        <f t="shared" si="19"/>
        <v>3</v>
      </c>
      <c r="AE5" s="328">
        <f t="shared" si="20"/>
        <v>0.225</v>
      </c>
      <c r="AF5" s="336">
        <v>70.0</v>
      </c>
      <c r="AG5" s="319">
        <f t="shared" si="21"/>
        <v>1</v>
      </c>
      <c r="AH5" s="330">
        <f t="shared" si="22"/>
        <v>0.125</v>
      </c>
      <c r="AI5" s="337">
        <v>75.0</v>
      </c>
      <c r="AJ5" s="322">
        <f t="shared" si="23"/>
        <v>2</v>
      </c>
      <c r="AK5" s="328">
        <f t="shared" si="24"/>
        <v>0.125</v>
      </c>
      <c r="AL5" s="336">
        <v>71.0</v>
      </c>
      <c r="AM5" s="319">
        <f t="shared" si="25"/>
        <v>1</v>
      </c>
      <c r="AN5" s="330">
        <f t="shared" si="26"/>
        <v>0.0625</v>
      </c>
      <c r="AO5" s="339">
        <v>80.0</v>
      </c>
      <c r="AP5" s="317" t="str">
        <f t="shared" si="27"/>
        <v>#DIV/0!</v>
      </c>
      <c r="AQ5" s="392" t="str">
        <f t="shared" si="28"/>
        <v>#DIV/0!</v>
      </c>
      <c r="AR5" s="393" t="str">
        <f t="shared" si="29"/>
        <v>#DIV/0!</v>
      </c>
      <c r="AS5" s="394">
        <v>10000.0</v>
      </c>
      <c r="AT5" s="395" t="str">
        <f t="shared" si="30"/>
        <v>#DIV/0!</v>
      </c>
      <c r="AU5" s="395" t="str">
        <f t="shared" si="31"/>
        <v>#DIV/0!</v>
      </c>
    </row>
    <row r="6">
      <c r="A6" s="295" t="s">
        <v>121</v>
      </c>
      <c r="B6" s="354" t="str">
        <f>100%+'Quaterly Tables'!I7</f>
        <v>#DIV/0!</v>
      </c>
      <c r="C6" s="341" t="str">
        <f t="shared" si="1"/>
        <v>#DIV/0!</v>
      </c>
      <c r="D6" s="342" t="str">
        <f t="shared" si="2"/>
        <v>#DIV/0!</v>
      </c>
      <c r="E6" s="343" t="str">
        <f>100%+'Quaterly Tables'!F7</f>
        <v>#DIV/0!</v>
      </c>
      <c r="F6" s="344" t="str">
        <f t="shared" si="3"/>
        <v>#DIV/0!</v>
      </c>
      <c r="G6" s="345" t="str">
        <f t="shared" si="4"/>
        <v>#DIV/0!</v>
      </c>
      <c r="H6" s="397">
        <f>100%+'Quaterly Tables'!V7</f>
        <v>1</v>
      </c>
      <c r="I6" s="341">
        <f t="shared" si="5"/>
        <v>3</v>
      </c>
      <c r="J6" s="352">
        <f t="shared" si="6"/>
        <v>0.45</v>
      </c>
      <c r="K6" s="349">
        <f>'Quaterly Tables'!L7*100</f>
        <v>0</v>
      </c>
      <c r="L6" s="344">
        <f t="shared" si="7"/>
        <v>3</v>
      </c>
      <c r="M6" s="350">
        <f t="shared" si="8"/>
        <v>0.375</v>
      </c>
      <c r="N6" s="351">
        <f>'Quaterly Tables'!O7*100</f>
        <v>0</v>
      </c>
      <c r="O6" s="341">
        <f t="shared" si="9"/>
        <v>3</v>
      </c>
      <c r="P6" s="352">
        <f t="shared" si="10"/>
        <v>0.375</v>
      </c>
      <c r="Q6" s="353">
        <f>'Quaterly Tables'!H16</f>
        <v>4.47</v>
      </c>
      <c r="R6" s="341">
        <f t="shared" si="11"/>
        <v>3</v>
      </c>
      <c r="S6" s="350">
        <f t="shared" si="12"/>
        <v>0.525</v>
      </c>
      <c r="T6" s="354" t="str">
        <f>'Quaterly Tables'!F16</f>
        <v>NA</v>
      </c>
      <c r="U6" s="341" t="str">
        <f t="shared" si="13"/>
        <v/>
      </c>
      <c r="V6" s="352" t="str">
        <f t="shared" si="14"/>
        <v/>
      </c>
      <c r="W6" s="355">
        <f>'Quaterly Tables'!I24</f>
        <v>0.045</v>
      </c>
      <c r="X6" s="344">
        <f t="shared" si="15"/>
        <v>1</v>
      </c>
      <c r="Y6" s="350">
        <f t="shared" si="16"/>
        <v>0.1</v>
      </c>
      <c r="Z6" s="356">
        <f>'Quaterly Tables'!H30</f>
        <v>2.03</v>
      </c>
      <c r="AA6" s="341">
        <f t="shared" si="17"/>
        <v>2</v>
      </c>
      <c r="AB6" s="352">
        <f t="shared" si="18"/>
        <v>0.15</v>
      </c>
      <c r="AC6" s="357">
        <f>'Quaterly Tables'!E24</f>
        <v>4.3</v>
      </c>
      <c r="AD6" s="344">
        <f t="shared" si="19"/>
        <v>3</v>
      </c>
      <c r="AE6" s="350">
        <f t="shared" si="20"/>
        <v>0.225</v>
      </c>
      <c r="AF6" s="358">
        <v>56.0</v>
      </c>
      <c r="AG6" s="341">
        <f t="shared" si="21"/>
        <v>0</v>
      </c>
      <c r="AH6" s="352">
        <f t="shared" si="22"/>
        <v>0</v>
      </c>
      <c r="AI6" s="359">
        <v>60.0</v>
      </c>
      <c r="AJ6" s="344">
        <f t="shared" si="23"/>
        <v>0</v>
      </c>
      <c r="AK6" s="350">
        <f t="shared" si="24"/>
        <v>0</v>
      </c>
      <c r="AL6" s="358">
        <v>60.0</v>
      </c>
      <c r="AM6" s="341">
        <f t="shared" si="25"/>
        <v>0</v>
      </c>
      <c r="AN6" s="352">
        <f t="shared" si="26"/>
        <v>0</v>
      </c>
      <c r="AO6" s="360">
        <v>78.0</v>
      </c>
      <c r="AP6" s="317" t="str">
        <f t="shared" si="27"/>
        <v>#DIV/0!</v>
      </c>
      <c r="AQ6" s="392" t="str">
        <f t="shared" si="28"/>
        <v>#DIV/0!</v>
      </c>
      <c r="AR6" s="393" t="str">
        <f t="shared" si="29"/>
        <v>#DIV/0!</v>
      </c>
      <c r="AS6" s="394">
        <v>10000.0</v>
      </c>
      <c r="AT6" s="395" t="str">
        <f t="shared" si="30"/>
        <v>#DIV/0!</v>
      </c>
      <c r="AU6" s="395" t="str">
        <f t="shared" si="31"/>
        <v>#DIV/0!</v>
      </c>
    </row>
    <row r="7">
      <c r="D7" s="243"/>
      <c r="G7" s="243"/>
      <c r="K7" s="244"/>
      <c r="N7" s="244"/>
      <c r="T7" s="245"/>
      <c r="Z7" s="246"/>
    </row>
    <row r="8">
      <c r="D8" s="243"/>
      <c r="G8" s="243"/>
      <c r="K8" s="244"/>
      <c r="N8" s="244"/>
      <c r="T8" s="245"/>
      <c r="Z8" s="246"/>
    </row>
    <row r="9">
      <c r="D9" s="243"/>
      <c r="G9" s="243"/>
      <c r="K9" s="244"/>
      <c r="N9" s="244"/>
      <c r="T9" s="245"/>
      <c r="Z9" s="246"/>
    </row>
    <row r="10">
      <c r="D10" s="243"/>
      <c r="G10" s="243"/>
      <c r="K10" s="244"/>
      <c r="N10" s="244"/>
      <c r="T10" s="245"/>
      <c r="Z10" s="246"/>
    </row>
    <row r="11">
      <c r="D11" s="243"/>
      <c r="G11" s="243"/>
      <c r="K11" s="244"/>
      <c r="N11" s="244"/>
      <c r="T11" s="245"/>
      <c r="Z11" s="246"/>
    </row>
    <row r="12">
      <c r="D12" s="243"/>
      <c r="G12" s="243"/>
      <c r="K12" s="244"/>
      <c r="N12" s="244"/>
      <c r="T12" s="245"/>
      <c r="Z12" s="246"/>
    </row>
    <row r="13">
      <c r="D13" s="243"/>
      <c r="G13" s="243"/>
      <c r="K13" s="244"/>
      <c r="N13" s="244"/>
      <c r="T13" s="245"/>
      <c r="Z13" s="246"/>
    </row>
    <row r="14">
      <c r="D14" s="243"/>
      <c r="G14" s="243"/>
      <c r="K14" s="244"/>
      <c r="N14" s="244"/>
      <c r="T14" s="245"/>
      <c r="Z14" s="246"/>
    </row>
    <row r="15">
      <c r="D15" s="243"/>
      <c r="G15" s="243"/>
      <c r="K15" s="244"/>
      <c r="N15" s="244"/>
      <c r="T15" s="245"/>
      <c r="Z15" s="246"/>
    </row>
    <row r="16">
      <c r="D16" s="243"/>
      <c r="G16" s="243"/>
      <c r="K16" s="244"/>
      <c r="N16" s="244"/>
      <c r="T16" s="245"/>
      <c r="Z16" s="246"/>
    </row>
    <row r="17">
      <c r="D17" s="243"/>
      <c r="G17" s="243"/>
      <c r="K17" s="244"/>
      <c r="N17" s="244"/>
      <c r="T17" s="245"/>
      <c r="Z17" s="246"/>
    </row>
    <row r="18">
      <c r="D18" s="243"/>
      <c r="G18" s="243"/>
      <c r="K18" s="244"/>
      <c r="N18" s="244"/>
      <c r="T18" s="245"/>
      <c r="Z18" s="246"/>
    </row>
    <row r="19">
      <c r="D19" s="243"/>
      <c r="G19" s="243"/>
      <c r="K19" s="244"/>
      <c r="N19" s="244"/>
      <c r="T19" s="245"/>
      <c r="Z19" s="246"/>
    </row>
    <row r="20">
      <c r="D20" s="243"/>
      <c r="G20" s="243"/>
      <c r="K20" s="244"/>
      <c r="N20" s="244"/>
      <c r="T20" s="245"/>
      <c r="Z20" s="246"/>
    </row>
    <row r="21" ht="15.75" customHeight="1">
      <c r="D21" s="243"/>
      <c r="G21" s="243"/>
      <c r="K21" s="244"/>
      <c r="N21" s="244"/>
      <c r="T21" s="245"/>
      <c r="Z21" s="246"/>
    </row>
    <row r="22" ht="15.75" customHeight="1">
      <c r="D22" s="243"/>
      <c r="G22" s="243"/>
      <c r="K22" s="244"/>
      <c r="N22" s="244"/>
      <c r="T22" s="245"/>
      <c r="Z22" s="246"/>
    </row>
    <row r="23" ht="15.75" customHeight="1">
      <c r="D23" s="243"/>
      <c r="G23" s="243"/>
      <c r="K23" s="244"/>
      <c r="N23" s="244"/>
      <c r="T23" s="245"/>
      <c r="Z23" s="246"/>
    </row>
    <row r="24" ht="15.75" customHeight="1">
      <c r="D24" s="243"/>
      <c r="G24" s="243"/>
      <c r="K24" s="244"/>
      <c r="N24" s="244"/>
      <c r="T24" s="245"/>
      <c r="Z24" s="246"/>
    </row>
    <row r="25" ht="15.75" customHeight="1">
      <c r="D25" s="243"/>
      <c r="G25" s="243"/>
      <c r="K25" s="244"/>
      <c r="N25" s="244"/>
      <c r="T25" s="245"/>
      <c r="Z25" s="246"/>
    </row>
    <row r="26" ht="15.75" customHeight="1">
      <c r="D26" s="243"/>
      <c r="G26" s="243"/>
      <c r="K26" s="244"/>
      <c r="N26" s="244"/>
      <c r="T26" s="245"/>
      <c r="Z26" s="246"/>
    </row>
    <row r="27" ht="15.75" customHeight="1">
      <c r="D27" s="243"/>
      <c r="G27" s="243"/>
      <c r="K27" s="244"/>
      <c r="N27" s="244"/>
      <c r="T27" s="245"/>
      <c r="Z27" s="246"/>
    </row>
    <row r="28" ht="15.75" customHeight="1">
      <c r="D28" s="243"/>
      <c r="G28" s="243"/>
      <c r="K28" s="244"/>
      <c r="N28" s="244"/>
      <c r="T28" s="245"/>
      <c r="Z28" s="246"/>
    </row>
    <row r="29" ht="15.75" customHeight="1">
      <c r="D29" s="243"/>
      <c r="G29" s="243"/>
      <c r="K29" s="244"/>
      <c r="N29" s="244"/>
      <c r="T29" s="245"/>
      <c r="Z29" s="246"/>
    </row>
    <row r="30" ht="15.75" customHeight="1">
      <c r="D30" s="243"/>
      <c r="G30" s="243"/>
      <c r="K30" s="244"/>
      <c r="N30" s="244"/>
      <c r="T30" s="245"/>
      <c r="Z30" s="246"/>
    </row>
    <row r="31" ht="15.75" customHeight="1">
      <c r="D31" s="243"/>
      <c r="G31" s="243"/>
      <c r="K31" s="244"/>
      <c r="N31" s="244"/>
      <c r="T31" s="245"/>
      <c r="Z31" s="246"/>
    </row>
    <row r="32" ht="15.75" customHeight="1">
      <c r="D32" s="243"/>
      <c r="G32" s="243"/>
      <c r="K32" s="244"/>
      <c r="N32" s="244"/>
      <c r="T32" s="245"/>
      <c r="Z32" s="246"/>
    </row>
    <row r="33" ht="15.75" customHeight="1">
      <c r="D33" s="243"/>
      <c r="G33" s="243"/>
      <c r="K33" s="244"/>
      <c r="N33" s="244"/>
      <c r="T33" s="245"/>
      <c r="Z33" s="246"/>
    </row>
    <row r="34" ht="15.75" customHeight="1">
      <c r="D34" s="243"/>
      <c r="G34" s="243"/>
      <c r="K34" s="244"/>
      <c r="N34" s="244"/>
      <c r="T34" s="245"/>
      <c r="Z34" s="246"/>
    </row>
    <row r="35" ht="15.75" customHeight="1">
      <c r="D35" s="243"/>
      <c r="G35" s="243"/>
      <c r="K35" s="244"/>
      <c r="N35" s="244"/>
      <c r="T35" s="245"/>
      <c r="Z35" s="246"/>
    </row>
    <row r="36" ht="15.75" customHeight="1">
      <c r="D36" s="243"/>
      <c r="G36" s="243"/>
      <c r="K36" s="244"/>
      <c r="N36" s="244"/>
      <c r="T36" s="245"/>
      <c r="Z36" s="246"/>
    </row>
    <row r="37" ht="15.75" customHeight="1">
      <c r="D37" s="243"/>
      <c r="G37" s="243"/>
      <c r="K37" s="244"/>
      <c r="N37" s="244"/>
      <c r="T37" s="245"/>
      <c r="Z37" s="246"/>
    </row>
    <row r="38" ht="15.75" customHeight="1">
      <c r="D38" s="243"/>
      <c r="G38" s="243"/>
      <c r="K38" s="244"/>
      <c r="N38" s="244"/>
      <c r="T38" s="245"/>
      <c r="Z38" s="246"/>
    </row>
    <row r="39" ht="15.75" customHeight="1">
      <c r="D39" s="243"/>
      <c r="G39" s="243"/>
      <c r="K39" s="244"/>
      <c r="N39" s="244"/>
      <c r="T39" s="245"/>
      <c r="Z39" s="246"/>
    </row>
    <row r="40" ht="15.75" customHeight="1">
      <c r="D40" s="243"/>
      <c r="G40" s="243"/>
      <c r="K40" s="244"/>
      <c r="N40" s="244"/>
      <c r="T40" s="245"/>
      <c r="Z40" s="246"/>
    </row>
    <row r="41" ht="15.75" customHeight="1">
      <c r="D41" s="243"/>
      <c r="G41" s="243"/>
      <c r="K41" s="244"/>
      <c r="N41" s="244"/>
      <c r="T41" s="245"/>
      <c r="Z41" s="246"/>
    </row>
    <row r="42" ht="15.75" customHeight="1">
      <c r="D42" s="243"/>
      <c r="G42" s="243"/>
      <c r="K42" s="244"/>
      <c r="N42" s="244"/>
      <c r="T42" s="245"/>
      <c r="Z42" s="246"/>
    </row>
    <row r="43" ht="15.75" customHeight="1">
      <c r="D43" s="243"/>
      <c r="G43" s="243"/>
      <c r="K43" s="244"/>
      <c r="N43" s="244"/>
      <c r="T43" s="245"/>
      <c r="Z43" s="246"/>
    </row>
    <row r="44" ht="15.75" customHeight="1">
      <c r="D44" s="243"/>
      <c r="G44" s="243"/>
      <c r="K44" s="244"/>
      <c r="N44" s="244"/>
      <c r="T44" s="245"/>
      <c r="Z44" s="246"/>
    </row>
    <row r="45" ht="15.75" customHeight="1">
      <c r="D45" s="243"/>
      <c r="G45" s="243"/>
      <c r="K45" s="244"/>
      <c r="N45" s="244"/>
      <c r="T45" s="245"/>
      <c r="Z45" s="246"/>
    </row>
    <row r="46" ht="15.75" customHeight="1">
      <c r="D46" s="243"/>
      <c r="G46" s="243"/>
      <c r="K46" s="244"/>
      <c r="N46" s="244"/>
      <c r="T46" s="245"/>
      <c r="Z46" s="246"/>
    </row>
    <row r="47" ht="15.75" customHeight="1">
      <c r="D47" s="243"/>
      <c r="G47" s="243"/>
      <c r="K47" s="244"/>
      <c r="N47" s="244"/>
      <c r="T47" s="245"/>
      <c r="Z47" s="246"/>
    </row>
    <row r="48" ht="15.75" customHeight="1">
      <c r="D48" s="243"/>
      <c r="G48" s="243"/>
      <c r="K48" s="244"/>
      <c r="N48" s="244"/>
      <c r="T48" s="245"/>
      <c r="Z48" s="246"/>
    </row>
    <row r="49" ht="15.75" customHeight="1">
      <c r="D49" s="243"/>
      <c r="G49" s="243"/>
      <c r="K49" s="244"/>
      <c r="N49" s="244"/>
      <c r="T49" s="245"/>
      <c r="Z49" s="246"/>
    </row>
    <row r="50" ht="15.75" customHeight="1">
      <c r="D50" s="243"/>
      <c r="G50" s="243"/>
      <c r="K50" s="244"/>
      <c r="N50" s="244"/>
      <c r="T50" s="245"/>
      <c r="Z50" s="246"/>
    </row>
    <row r="51" ht="15.75" customHeight="1">
      <c r="D51" s="243"/>
      <c r="G51" s="243"/>
      <c r="K51" s="244"/>
      <c r="N51" s="244"/>
      <c r="T51" s="245"/>
      <c r="Z51" s="246"/>
    </row>
    <row r="52" ht="15.75" customHeight="1">
      <c r="D52" s="243"/>
      <c r="G52" s="243"/>
      <c r="K52" s="244"/>
      <c r="N52" s="244"/>
      <c r="T52" s="245"/>
      <c r="Z52" s="246"/>
    </row>
    <row r="53" ht="15.75" customHeight="1">
      <c r="D53" s="243"/>
      <c r="G53" s="243"/>
      <c r="K53" s="244"/>
      <c r="N53" s="244"/>
      <c r="T53" s="245"/>
      <c r="Z53" s="246"/>
    </row>
    <row r="54" ht="15.75" customHeight="1">
      <c r="D54" s="243"/>
      <c r="G54" s="243"/>
      <c r="K54" s="244"/>
      <c r="N54" s="244"/>
      <c r="T54" s="245"/>
      <c r="Z54" s="246"/>
    </row>
    <row r="55" ht="15.75" customHeight="1">
      <c r="D55" s="243"/>
      <c r="G55" s="243"/>
      <c r="K55" s="244"/>
      <c r="N55" s="244"/>
      <c r="T55" s="245"/>
      <c r="Z55" s="246"/>
    </row>
    <row r="56" ht="15.75" customHeight="1">
      <c r="D56" s="243"/>
      <c r="G56" s="243"/>
      <c r="K56" s="244"/>
      <c r="N56" s="244"/>
      <c r="T56" s="245"/>
      <c r="Z56" s="246"/>
    </row>
    <row r="57" ht="15.75" customHeight="1">
      <c r="D57" s="243"/>
      <c r="G57" s="243"/>
      <c r="K57" s="244"/>
      <c r="N57" s="244"/>
      <c r="T57" s="245"/>
      <c r="Z57" s="246"/>
    </row>
    <row r="58" ht="15.75" customHeight="1">
      <c r="D58" s="243"/>
      <c r="G58" s="243"/>
      <c r="K58" s="244"/>
      <c r="N58" s="244"/>
      <c r="T58" s="245"/>
      <c r="Z58" s="246"/>
    </row>
    <row r="59" ht="15.75" customHeight="1">
      <c r="D59" s="243"/>
      <c r="G59" s="243"/>
      <c r="K59" s="244"/>
      <c r="N59" s="244"/>
      <c r="T59" s="245"/>
      <c r="Z59" s="246"/>
    </row>
    <row r="60" ht="15.75" customHeight="1">
      <c r="D60" s="243"/>
      <c r="G60" s="243"/>
      <c r="K60" s="244"/>
      <c r="N60" s="244"/>
      <c r="T60" s="245"/>
      <c r="Z60" s="246"/>
    </row>
    <row r="61" ht="15.75" customHeight="1">
      <c r="D61" s="243"/>
      <c r="G61" s="243"/>
      <c r="K61" s="244"/>
      <c r="N61" s="244"/>
      <c r="T61" s="245"/>
      <c r="Z61" s="246"/>
    </row>
    <row r="62" ht="15.75" customHeight="1">
      <c r="D62" s="243"/>
      <c r="G62" s="243"/>
      <c r="K62" s="244"/>
      <c r="N62" s="244"/>
      <c r="T62" s="245"/>
      <c r="Z62" s="246"/>
    </row>
    <row r="63" ht="15.75" customHeight="1">
      <c r="D63" s="243"/>
      <c r="G63" s="243"/>
      <c r="K63" s="244"/>
      <c r="N63" s="244"/>
      <c r="T63" s="245"/>
      <c r="Z63" s="246"/>
    </row>
    <row r="64" ht="15.75" customHeight="1">
      <c r="D64" s="243"/>
      <c r="G64" s="243"/>
      <c r="K64" s="244"/>
      <c r="N64" s="244"/>
      <c r="T64" s="245"/>
      <c r="Z64" s="246"/>
    </row>
    <row r="65" ht="15.75" customHeight="1">
      <c r="D65" s="243"/>
      <c r="G65" s="243"/>
      <c r="K65" s="244"/>
      <c r="N65" s="244"/>
      <c r="T65" s="245"/>
      <c r="Z65" s="246"/>
    </row>
    <row r="66" ht="15.75" customHeight="1">
      <c r="D66" s="243"/>
      <c r="G66" s="243"/>
      <c r="K66" s="244"/>
      <c r="N66" s="244"/>
      <c r="T66" s="245"/>
      <c r="Z66" s="246"/>
    </row>
    <row r="67" ht="15.75" customHeight="1">
      <c r="D67" s="243"/>
      <c r="G67" s="243"/>
      <c r="K67" s="244"/>
      <c r="N67" s="244"/>
      <c r="T67" s="245"/>
      <c r="Z67" s="246"/>
    </row>
    <row r="68" ht="15.75" customHeight="1">
      <c r="D68" s="243"/>
      <c r="G68" s="243"/>
      <c r="K68" s="244"/>
      <c r="N68" s="244"/>
      <c r="T68" s="245"/>
      <c r="Z68" s="246"/>
    </row>
    <row r="69" ht="15.75" customHeight="1">
      <c r="D69" s="243"/>
      <c r="G69" s="243"/>
      <c r="K69" s="244"/>
      <c r="N69" s="244"/>
      <c r="T69" s="245"/>
      <c r="Z69" s="246"/>
    </row>
    <row r="70" ht="15.75" customHeight="1">
      <c r="D70" s="243"/>
      <c r="G70" s="243"/>
      <c r="K70" s="244"/>
      <c r="N70" s="244"/>
      <c r="T70" s="245"/>
      <c r="Z70" s="246"/>
    </row>
    <row r="71" ht="15.75" customHeight="1">
      <c r="D71" s="243"/>
      <c r="G71" s="243"/>
      <c r="K71" s="244"/>
      <c r="N71" s="244"/>
      <c r="T71" s="245"/>
      <c r="Z71" s="246"/>
    </row>
    <row r="72" ht="15.75" customHeight="1">
      <c r="D72" s="243"/>
      <c r="G72" s="243"/>
      <c r="K72" s="244"/>
      <c r="N72" s="244"/>
      <c r="T72" s="245"/>
      <c r="Z72" s="246"/>
    </row>
    <row r="73" ht="15.75" customHeight="1">
      <c r="D73" s="243"/>
      <c r="G73" s="243"/>
      <c r="K73" s="244"/>
      <c r="N73" s="244"/>
      <c r="T73" s="245"/>
      <c r="Z73" s="246"/>
    </row>
    <row r="74" ht="15.75" customHeight="1">
      <c r="D74" s="243"/>
      <c r="G74" s="243"/>
      <c r="K74" s="244"/>
      <c r="N74" s="244"/>
      <c r="T74" s="245"/>
      <c r="Z74" s="246"/>
    </row>
    <row r="75" ht="15.75" customHeight="1">
      <c r="D75" s="243"/>
      <c r="G75" s="243"/>
      <c r="K75" s="244"/>
      <c r="N75" s="244"/>
      <c r="T75" s="245"/>
      <c r="Z75" s="246"/>
    </row>
    <row r="76" ht="15.75" customHeight="1">
      <c r="D76" s="243"/>
      <c r="G76" s="243"/>
      <c r="K76" s="244"/>
      <c r="N76" s="244"/>
      <c r="T76" s="245"/>
      <c r="Z76" s="246"/>
    </row>
    <row r="77" ht="15.75" customHeight="1">
      <c r="D77" s="243"/>
      <c r="G77" s="243"/>
      <c r="K77" s="244"/>
      <c r="N77" s="244"/>
      <c r="T77" s="245"/>
      <c r="Z77" s="246"/>
    </row>
    <row r="78" ht="15.75" customHeight="1">
      <c r="D78" s="243"/>
      <c r="G78" s="243"/>
      <c r="K78" s="244"/>
      <c r="N78" s="244"/>
      <c r="T78" s="245"/>
      <c r="Z78" s="246"/>
    </row>
    <row r="79" ht="15.75" customHeight="1">
      <c r="D79" s="243"/>
      <c r="G79" s="243"/>
      <c r="K79" s="244"/>
      <c r="N79" s="244"/>
      <c r="T79" s="245"/>
      <c r="Z79" s="246"/>
    </row>
    <row r="80" ht="15.75" customHeight="1">
      <c r="D80" s="243"/>
      <c r="G80" s="243"/>
      <c r="K80" s="244"/>
      <c r="N80" s="244"/>
      <c r="T80" s="245"/>
      <c r="Z80" s="246"/>
    </row>
    <row r="81" ht="15.75" customHeight="1">
      <c r="D81" s="243"/>
      <c r="G81" s="243"/>
      <c r="K81" s="244"/>
      <c r="N81" s="244"/>
      <c r="T81" s="245"/>
      <c r="Z81" s="246"/>
    </row>
    <row r="82" ht="15.75" customHeight="1">
      <c r="D82" s="243"/>
      <c r="G82" s="243"/>
      <c r="K82" s="244"/>
      <c r="N82" s="244"/>
      <c r="T82" s="245"/>
      <c r="Z82" s="246"/>
    </row>
    <row r="83" ht="15.75" customHeight="1">
      <c r="D83" s="243"/>
      <c r="G83" s="243"/>
      <c r="K83" s="244"/>
      <c r="N83" s="244"/>
      <c r="T83" s="245"/>
      <c r="Z83" s="246"/>
    </row>
    <row r="84" ht="15.75" customHeight="1">
      <c r="D84" s="243"/>
      <c r="G84" s="243"/>
      <c r="K84" s="244"/>
      <c r="N84" s="244"/>
      <c r="T84" s="245"/>
      <c r="Z84" s="246"/>
    </row>
    <row r="85" ht="15.75" customHeight="1">
      <c r="D85" s="243"/>
      <c r="G85" s="243"/>
      <c r="K85" s="244"/>
      <c r="N85" s="244"/>
      <c r="T85" s="245"/>
      <c r="Z85" s="246"/>
    </row>
    <row r="86" ht="15.75" customHeight="1">
      <c r="D86" s="243"/>
      <c r="G86" s="243"/>
      <c r="K86" s="244"/>
      <c r="N86" s="244"/>
      <c r="T86" s="245"/>
      <c r="Z86" s="246"/>
    </row>
    <row r="87" ht="15.75" customHeight="1">
      <c r="D87" s="243"/>
      <c r="G87" s="243"/>
      <c r="K87" s="244"/>
      <c r="N87" s="244"/>
      <c r="T87" s="245"/>
      <c r="Z87" s="246"/>
    </row>
    <row r="88" ht="15.75" customHeight="1">
      <c r="D88" s="243"/>
      <c r="G88" s="243"/>
      <c r="K88" s="244"/>
      <c r="N88" s="244"/>
      <c r="T88" s="245"/>
      <c r="Z88" s="246"/>
    </row>
    <row r="89" ht="15.75" customHeight="1">
      <c r="D89" s="243"/>
      <c r="G89" s="243"/>
      <c r="K89" s="244"/>
      <c r="N89" s="244"/>
      <c r="T89" s="245"/>
      <c r="Z89" s="246"/>
    </row>
    <row r="90" ht="15.75" customHeight="1">
      <c r="D90" s="243"/>
      <c r="G90" s="243"/>
      <c r="K90" s="244"/>
      <c r="N90" s="244"/>
      <c r="T90" s="245"/>
      <c r="Z90" s="246"/>
    </row>
    <row r="91" ht="15.75" customHeight="1">
      <c r="D91" s="243"/>
      <c r="G91" s="243"/>
      <c r="K91" s="244"/>
      <c r="N91" s="244"/>
      <c r="T91" s="245"/>
      <c r="Z91" s="246"/>
    </row>
    <row r="92" ht="15.75" customHeight="1">
      <c r="D92" s="243"/>
      <c r="G92" s="243"/>
      <c r="K92" s="244"/>
      <c r="N92" s="244"/>
      <c r="T92" s="245"/>
      <c r="Z92" s="246"/>
    </row>
    <row r="93" ht="15.75" customHeight="1">
      <c r="D93" s="243"/>
      <c r="G93" s="243"/>
      <c r="K93" s="244"/>
      <c r="N93" s="244"/>
      <c r="T93" s="245"/>
      <c r="Z93" s="246"/>
    </row>
    <row r="94" ht="15.75" customHeight="1">
      <c r="D94" s="243"/>
      <c r="G94" s="243"/>
      <c r="K94" s="244"/>
      <c r="N94" s="244"/>
      <c r="T94" s="245"/>
      <c r="Z94" s="246"/>
    </row>
    <row r="95" ht="15.75" customHeight="1">
      <c r="D95" s="243"/>
      <c r="G95" s="243"/>
      <c r="K95" s="244"/>
      <c r="N95" s="244"/>
      <c r="T95" s="245"/>
      <c r="Z95" s="246"/>
    </row>
    <row r="96" ht="15.75" customHeight="1">
      <c r="D96" s="243"/>
      <c r="G96" s="243"/>
      <c r="K96" s="244"/>
      <c r="N96" s="244"/>
      <c r="T96" s="245"/>
      <c r="Z96" s="246"/>
    </row>
    <row r="97" ht="15.75" customHeight="1">
      <c r="D97" s="243"/>
      <c r="G97" s="243"/>
      <c r="K97" s="244"/>
      <c r="N97" s="244"/>
      <c r="T97" s="245"/>
      <c r="Z97" s="246"/>
    </row>
    <row r="98" ht="15.75" customHeight="1">
      <c r="D98" s="243"/>
      <c r="G98" s="243"/>
      <c r="K98" s="244"/>
      <c r="N98" s="244"/>
      <c r="T98" s="245"/>
      <c r="Z98" s="246"/>
    </row>
    <row r="99" ht="15.75" customHeight="1">
      <c r="D99" s="243"/>
      <c r="G99" s="243"/>
      <c r="K99" s="244"/>
      <c r="N99" s="244"/>
      <c r="T99" s="245"/>
      <c r="Z99" s="246"/>
    </row>
    <row r="100" ht="15.75" customHeight="1">
      <c r="D100" s="243"/>
      <c r="G100" s="243"/>
      <c r="K100" s="244"/>
      <c r="N100" s="244"/>
      <c r="T100" s="245"/>
      <c r="Z100" s="246"/>
    </row>
    <row r="101" ht="15.75" customHeight="1">
      <c r="D101" s="243"/>
      <c r="G101" s="243"/>
      <c r="K101" s="244"/>
      <c r="N101" s="244"/>
      <c r="T101" s="245"/>
      <c r="Z101" s="246"/>
    </row>
    <row r="102" ht="15.75" customHeight="1">
      <c r="D102" s="243"/>
      <c r="G102" s="243"/>
      <c r="K102" s="244"/>
      <c r="N102" s="244"/>
      <c r="T102" s="245"/>
      <c r="Z102" s="246"/>
    </row>
    <row r="103" ht="15.75" customHeight="1">
      <c r="D103" s="243"/>
      <c r="G103" s="243"/>
      <c r="K103" s="244"/>
      <c r="N103" s="244"/>
      <c r="T103" s="245"/>
      <c r="Z103" s="246"/>
    </row>
    <row r="104" ht="15.75" customHeight="1">
      <c r="D104" s="243"/>
      <c r="G104" s="243"/>
      <c r="K104" s="244"/>
      <c r="N104" s="244"/>
      <c r="T104" s="245"/>
      <c r="Z104" s="246"/>
    </row>
    <row r="105" ht="15.75" customHeight="1">
      <c r="D105" s="243"/>
      <c r="G105" s="243"/>
      <c r="K105" s="244"/>
      <c r="N105" s="244"/>
      <c r="T105" s="245"/>
      <c r="Z105" s="246"/>
    </row>
    <row r="106" ht="15.75" customHeight="1">
      <c r="D106" s="243"/>
      <c r="G106" s="243"/>
      <c r="K106" s="244"/>
      <c r="N106" s="244"/>
      <c r="T106" s="245"/>
      <c r="Z106" s="246"/>
    </row>
    <row r="107" ht="15.75" customHeight="1">
      <c r="D107" s="243"/>
      <c r="G107" s="243"/>
      <c r="K107" s="244"/>
      <c r="N107" s="244"/>
      <c r="T107" s="245"/>
      <c r="Z107" s="246"/>
    </row>
    <row r="108" ht="15.75" customHeight="1">
      <c r="D108" s="243"/>
      <c r="G108" s="243"/>
      <c r="K108" s="244"/>
      <c r="N108" s="244"/>
      <c r="T108" s="245"/>
      <c r="Z108" s="246"/>
    </row>
    <row r="109" ht="15.75" customHeight="1">
      <c r="D109" s="243"/>
      <c r="G109" s="243"/>
      <c r="K109" s="244"/>
      <c r="N109" s="244"/>
      <c r="T109" s="245"/>
      <c r="Z109" s="246"/>
    </row>
    <row r="110" ht="15.75" customHeight="1">
      <c r="D110" s="243"/>
      <c r="G110" s="243"/>
      <c r="K110" s="244"/>
      <c r="N110" s="244"/>
      <c r="T110" s="245"/>
      <c r="Z110" s="246"/>
    </row>
    <row r="111" ht="15.75" customHeight="1">
      <c r="D111" s="243"/>
      <c r="G111" s="243"/>
      <c r="K111" s="244"/>
      <c r="N111" s="244"/>
      <c r="T111" s="245"/>
      <c r="Z111" s="246"/>
    </row>
    <row r="112" ht="15.75" customHeight="1">
      <c r="D112" s="243"/>
      <c r="G112" s="243"/>
      <c r="K112" s="244"/>
      <c r="N112" s="244"/>
      <c r="T112" s="245"/>
      <c r="Z112" s="246"/>
    </row>
    <row r="113" ht="15.75" customHeight="1">
      <c r="D113" s="243"/>
      <c r="G113" s="243"/>
      <c r="K113" s="244"/>
      <c r="N113" s="244"/>
      <c r="T113" s="245"/>
      <c r="Z113" s="246"/>
    </row>
    <row r="114" ht="15.75" customHeight="1">
      <c r="D114" s="243"/>
      <c r="G114" s="243"/>
      <c r="K114" s="244"/>
      <c r="N114" s="244"/>
      <c r="T114" s="245"/>
      <c r="Z114" s="246"/>
    </row>
    <row r="115" ht="15.75" customHeight="1">
      <c r="D115" s="243"/>
      <c r="G115" s="243"/>
      <c r="K115" s="244"/>
      <c r="N115" s="244"/>
      <c r="T115" s="245"/>
      <c r="Z115" s="246"/>
    </row>
    <row r="116" ht="15.75" customHeight="1">
      <c r="D116" s="243"/>
      <c r="G116" s="243"/>
      <c r="K116" s="244"/>
      <c r="N116" s="244"/>
      <c r="T116" s="245"/>
      <c r="Z116" s="246"/>
    </row>
    <row r="117" ht="15.75" customHeight="1">
      <c r="D117" s="243"/>
      <c r="G117" s="243"/>
      <c r="K117" s="244"/>
      <c r="N117" s="244"/>
      <c r="T117" s="245"/>
      <c r="Z117" s="246"/>
    </row>
    <row r="118" ht="15.75" customHeight="1">
      <c r="D118" s="243"/>
      <c r="G118" s="243"/>
      <c r="K118" s="244"/>
      <c r="N118" s="244"/>
      <c r="T118" s="245"/>
      <c r="Z118" s="246"/>
    </row>
    <row r="119" ht="15.75" customHeight="1">
      <c r="D119" s="243"/>
      <c r="G119" s="243"/>
      <c r="K119" s="244"/>
      <c r="N119" s="244"/>
      <c r="T119" s="245"/>
      <c r="Z119" s="246"/>
    </row>
    <row r="120" ht="15.75" customHeight="1">
      <c r="D120" s="243"/>
      <c r="G120" s="243"/>
      <c r="K120" s="244"/>
      <c r="N120" s="244"/>
      <c r="T120" s="245"/>
      <c r="Z120" s="246"/>
    </row>
    <row r="121" ht="15.75" customHeight="1">
      <c r="D121" s="243"/>
      <c r="G121" s="243"/>
      <c r="K121" s="244"/>
      <c r="N121" s="244"/>
      <c r="T121" s="245"/>
      <c r="Z121" s="246"/>
    </row>
    <row r="122" ht="15.75" customHeight="1">
      <c r="D122" s="243"/>
      <c r="G122" s="243"/>
      <c r="K122" s="244"/>
      <c r="N122" s="244"/>
      <c r="T122" s="245"/>
      <c r="Z122" s="246"/>
    </row>
    <row r="123" ht="15.75" customHeight="1">
      <c r="D123" s="243"/>
      <c r="G123" s="243"/>
      <c r="K123" s="244"/>
      <c r="N123" s="244"/>
      <c r="T123" s="245"/>
      <c r="Z123" s="246"/>
    </row>
    <row r="124" ht="15.75" customHeight="1">
      <c r="D124" s="243"/>
      <c r="G124" s="243"/>
      <c r="K124" s="244"/>
      <c r="N124" s="244"/>
      <c r="T124" s="245"/>
      <c r="Z124" s="246"/>
    </row>
    <row r="125" ht="15.75" customHeight="1">
      <c r="D125" s="243"/>
      <c r="G125" s="243"/>
      <c r="K125" s="244"/>
      <c r="N125" s="244"/>
      <c r="T125" s="245"/>
      <c r="Z125" s="246"/>
    </row>
    <row r="126" ht="15.75" customHeight="1">
      <c r="D126" s="243"/>
      <c r="G126" s="243"/>
      <c r="K126" s="244"/>
      <c r="N126" s="244"/>
      <c r="T126" s="245"/>
      <c r="Z126" s="246"/>
    </row>
    <row r="127" ht="15.75" customHeight="1">
      <c r="D127" s="243"/>
      <c r="G127" s="243"/>
      <c r="K127" s="244"/>
      <c r="N127" s="244"/>
      <c r="T127" s="245"/>
      <c r="Z127" s="246"/>
    </row>
    <row r="128" ht="15.75" customHeight="1">
      <c r="D128" s="243"/>
      <c r="G128" s="243"/>
      <c r="K128" s="244"/>
      <c r="N128" s="244"/>
      <c r="T128" s="245"/>
      <c r="Z128" s="246"/>
    </row>
    <row r="129" ht="15.75" customHeight="1">
      <c r="D129" s="243"/>
      <c r="G129" s="243"/>
      <c r="K129" s="244"/>
      <c r="N129" s="244"/>
      <c r="T129" s="245"/>
      <c r="Z129" s="246"/>
    </row>
    <row r="130" ht="15.75" customHeight="1">
      <c r="D130" s="243"/>
      <c r="G130" s="243"/>
      <c r="K130" s="244"/>
      <c r="N130" s="244"/>
      <c r="T130" s="245"/>
      <c r="Z130" s="246"/>
    </row>
    <row r="131" ht="15.75" customHeight="1">
      <c r="D131" s="243"/>
      <c r="G131" s="243"/>
      <c r="K131" s="244"/>
      <c r="N131" s="244"/>
      <c r="T131" s="245"/>
      <c r="Z131" s="246"/>
    </row>
    <row r="132" ht="15.75" customHeight="1">
      <c r="D132" s="243"/>
      <c r="G132" s="243"/>
      <c r="K132" s="244"/>
      <c r="N132" s="244"/>
      <c r="T132" s="245"/>
      <c r="Z132" s="246"/>
    </row>
    <row r="133" ht="15.75" customHeight="1">
      <c r="D133" s="243"/>
      <c r="G133" s="243"/>
      <c r="K133" s="244"/>
      <c r="N133" s="244"/>
      <c r="T133" s="245"/>
      <c r="Z133" s="246"/>
    </row>
    <row r="134" ht="15.75" customHeight="1">
      <c r="D134" s="243"/>
      <c r="G134" s="243"/>
      <c r="K134" s="244"/>
      <c r="N134" s="244"/>
      <c r="T134" s="245"/>
      <c r="Z134" s="246"/>
    </row>
    <row r="135" ht="15.75" customHeight="1">
      <c r="D135" s="243"/>
      <c r="G135" s="243"/>
      <c r="K135" s="244"/>
      <c r="N135" s="244"/>
      <c r="T135" s="245"/>
      <c r="Z135" s="246"/>
    </row>
    <row r="136" ht="15.75" customHeight="1">
      <c r="D136" s="243"/>
      <c r="G136" s="243"/>
      <c r="K136" s="244"/>
      <c r="N136" s="244"/>
      <c r="T136" s="245"/>
      <c r="Z136" s="246"/>
    </row>
    <row r="137" ht="15.75" customHeight="1">
      <c r="D137" s="243"/>
      <c r="G137" s="243"/>
      <c r="K137" s="244"/>
      <c r="N137" s="244"/>
      <c r="T137" s="245"/>
      <c r="Z137" s="246"/>
    </row>
    <row r="138" ht="15.75" customHeight="1">
      <c r="D138" s="243"/>
      <c r="G138" s="243"/>
      <c r="K138" s="244"/>
      <c r="N138" s="244"/>
      <c r="T138" s="245"/>
      <c r="Z138" s="246"/>
    </row>
    <row r="139" ht="15.75" customHeight="1">
      <c r="D139" s="243"/>
      <c r="G139" s="243"/>
      <c r="K139" s="244"/>
      <c r="N139" s="244"/>
      <c r="T139" s="245"/>
      <c r="Z139" s="246"/>
    </row>
    <row r="140" ht="15.75" customHeight="1">
      <c r="D140" s="243"/>
      <c r="G140" s="243"/>
      <c r="K140" s="244"/>
      <c r="N140" s="244"/>
      <c r="T140" s="245"/>
      <c r="Z140" s="246"/>
    </row>
    <row r="141" ht="15.75" customHeight="1">
      <c r="D141" s="243"/>
      <c r="G141" s="243"/>
      <c r="K141" s="244"/>
      <c r="N141" s="244"/>
      <c r="T141" s="245"/>
      <c r="Z141" s="246"/>
    </row>
    <row r="142" ht="15.75" customHeight="1">
      <c r="D142" s="243"/>
      <c r="G142" s="243"/>
      <c r="K142" s="244"/>
      <c r="N142" s="244"/>
      <c r="T142" s="245"/>
      <c r="Z142" s="246"/>
    </row>
    <row r="143" ht="15.75" customHeight="1">
      <c r="D143" s="243"/>
      <c r="G143" s="243"/>
      <c r="K143" s="244"/>
      <c r="N143" s="244"/>
      <c r="T143" s="245"/>
      <c r="Z143" s="246"/>
    </row>
    <row r="144" ht="15.75" customHeight="1">
      <c r="D144" s="243"/>
      <c r="G144" s="243"/>
      <c r="K144" s="244"/>
      <c r="N144" s="244"/>
      <c r="T144" s="245"/>
      <c r="Z144" s="246"/>
    </row>
    <row r="145" ht="15.75" customHeight="1">
      <c r="D145" s="243"/>
      <c r="G145" s="243"/>
      <c r="K145" s="244"/>
      <c r="N145" s="244"/>
      <c r="T145" s="245"/>
      <c r="Z145" s="246"/>
    </row>
    <row r="146" ht="15.75" customHeight="1">
      <c r="D146" s="243"/>
      <c r="G146" s="243"/>
      <c r="K146" s="244"/>
      <c r="N146" s="244"/>
      <c r="T146" s="245"/>
      <c r="Z146" s="246"/>
    </row>
    <row r="147" ht="15.75" customHeight="1">
      <c r="D147" s="243"/>
      <c r="G147" s="243"/>
      <c r="K147" s="244"/>
      <c r="N147" s="244"/>
      <c r="T147" s="245"/>
      <c r="Z147" s="246"/>
    </row>
    <row r="148" ht="15.75" customHeight="1">
      <c r="D148" s="243"/>
      <c r="G148" s="243"/>
      <c r="K148" s="244"/>
      <c r="N148" s="244"/>
      <c r="T148" s="245"/>
      <c r="Z148" s="246"/>
    </row>
    <row r="149" ht="15.75" customHeight="1">
      <c r="D149" s="243"/>
      <c r="G149" s="243"/>
      <c r="K149" s="244"/>
      <c r="N149" s="244"/>
      <c r="T149" s="245"/>
      <c r="Z149" s="246"/>
    </row>
    <row r="150" ht="15.75" customHeight="1">
      <c r="D150" s="243"/>
      <c r="G150" s="243"/>
      <c r="K150" s="244"/>
      <c r="N150" s="244"/>
      <c r="T150" s="245"/>
      <c r="Z150" s="246"/>
    </row>
    <row r="151" ht="15.75" customHeight="1">
      <c r="D151" s="243"/>
      <c r="G151" s="243"/>
      <c r="K151" s="244"/>
      <c r="N151" s="244"/>
      <c r="T151" s="245"/>
      <c r="Z151" s="246"/>
    </row>
    <row r="152" ht="15.75" customHeight="1">
      <c r="D152" s="243"/>
      <c r="G152" s="243"/>
      <c r="K152" s="244"/>
      <c r="N152" s="244"/>
      <c r="T152" s="245"/>
      <c r="Z152" s="246"/>
    </row>
    <row r="153" ht="15.75" customHeight="1">
      <c r="D153" s="243"/>
      <c r="G153" s="243"/>
      <c r="K153" s="244"/>
      <c r="N153" s="244"/>
      <c r="T153" s="245"/>
      <c r="Z153" s="246"/>
    </row>
    <row r="154" ht="15.75" customHeight="1">
      <c r="D154" s="243"/>
      <c r="G154" s="243"/>
      <c r="K154" s="244"/>
      <c r="N154" s="244"/>
      <c r="T154" s="245"/>
      <c r="Z154" s="246"/>
    </row>
    <row r="155" ht="15.75" customHeight="1">
      <c r="D155" s="243"/>
      <c r="G155" s="243"/>
      <c r="K155" s="244"/>
      <c r="N155" s="244"/>
      <c r="T155" s="245"/>
      <c r="Z155" s="246"/>
    </row>
    <row r="156" ht="15.75" customHeight="1">
      <c r="D156" s="243"/>
      <c r="G156" s="243"/>
      <c r="K156" s="244"/>
      <c r="N156" s="244"/>
      <c r="T156" s="245"/>
      <c r="Z156" s="246"/>
    </row>
    <row r="157" ht="15.75" customHeight="1">
      <c r="D157" s="243"/>
      <c r="G157" s="243"/>
      <c r="K157" s="244"/>
      <c r="N157" s="244"/>
      <c r="T157" s="245"/>
      <c r="Z157" s="246"/>
    </row>
    <row r="158" ht="15.75" customHeight="1">
      <c r="D158" s="243"/>
      <c r="G158" s="243"/>
      <c r="K158" s="244"/>
      <c r="N158" s="244"/>
      <c r="T158" s="245"/>
      <c r="Z158" s="246"/>
    </row>
    <row r="159" ht="15.75" customHeight="1">
      <c r="D159" s="243"/>
      <c r="G159" s="243"/>
      <c r="K159" s="244"/>
      <c r="N159" s="244"/>
      <c r="T159" s="245"/>
      <c r="Z159" s="246"/>
    </row>
    <row r="160" ht="15.75" customHeight="1">
      <c r="D160" s="243"/>
      <c r="G160" s="243"/>
      <c r="K160" s="244"/>
      <c r="N160" s="244"/>
      <c r="T160" s="245"/>
      <c r="Z160" s="246"/>
    </row>
    <row r="161" ht="15.75" customHeight="1">
      <c r="D161" s="243"/>
      <c r="G161" s="243"/>
      <c r="K161" s="244"/>
      <c r="N161" s="244"/>
      <c r="T161" s="245"/>
      <c r="Z161" s="246"/>
    </row>
    <row r="162" ht="15.75" customHeight="1">
      <c r="D162" s="243"/>
      <c r="G162" s="243"/>
      <c r="K162" s="244"/>
      <c r="N162" s="244"/>
      <c r="T162" s="245"/>
      <c r="Z162" s="246"/>
    </row>
    <row r="163" ht="15.75" customHeight="1">
      <c r="D163" s="243"/>
      <c r="G163" s="243"/>
      <c r="K163" s="244"/>
      <c r="N163" s="244"/>
      <c r="T163" s="245"/>
      <c r="Z163" s="246"/>
    </row>
    <row r="164" ht="15.75" customHeight="1">
      <c r="D164" s="243"/>
      <c r="G164" s="243"/>
      <c r="K164" s="244"/>
      <c r="N164" s="244"/>
      <c r="T164" s="245"/>
      <c r="Z164" s="246"/>
    </row>
    <row r="165" ht="15.75" customHeight="1">
      <c r="D165" s="243"/>
      <c r="G165" s="243"/>
      <c r="K165" s="244"/>
      <c r="N165" s="244"/>
      <c r="T165" s="245"/>
      <c r="Z165" s="246"/>
    </row>
    <row r="166" ht="15.75" customHeight="1">
      <c r="D166" s="243"/>
      <c r="G166" s="243"/>
      <c r="K166" s="244"/>
      <c r="N166" s="244"/>
      <c r="T166" s="245"/>
      <c r="Z166" s="246"/>
    </row>
    <row r="167" ht="15.75" customHeight="1">
      <c r="D167" s="243"/>
      <c r="G167" s="243"/>
      <c r="K167" s="244"/>
      <c r="N167" s="244"/>
      <c r="T167" s="245"/>
      <c r="Z167" s="246"/>
    </row>
    <row r="168" ht="15.75" customHeight="1">
      <c r="D168" s="243"/>
      <c r="G168" s="243"/>
      <c r="K168" s="244"/>
      <c r="N168" s="244"/>
      <c r="T168" s="245"/>
      <c r="Z168" s="246"/>
    </row>
    <row r="169" ht="15.75" customHeight="1">
      <c r="D169" s="243"/>
      <c r="G169" s="243"/>
      <c r="K169" s="244"/>
      <c r="N169" s="244"/>
      <c r="T169" s="245"/>
      <c r="Z169" s="246"/>
    </row>
    <row r="170" ht="15.75" customHeight="1">
      <c r="D170" s="243"/>
      <c r="G170" s="243"/>
      <c r="K170" s="244"/>
      <c r="N170" s="244"/>
      <c r="T170" s="245"/>
      <c r="Z170" s="246"/>
    </row>
    <row r="171" ht="15.75" customHeight="1">
      <c r="D171" s="243"/>
      <c r="G171" s="243"/>
      <c r="K171" s="244"/>
      <c r="N171" s="244"/>
      <c r="T171" s="245"/>
      <c r="Z171" s="246"/>
    </row>
    <row r="172" ht="15.75" customHeight="1">
      <c r="D172" s="243"/>
      <c r="G172" s="243"/>
      <c r="K172" s="244"/>
      <c r="N172" s="244"/>
      <c r="T172" s="245"/>
      <c r="Z172" s="246"/>
    </row>
    <row r="173" ht="15.75" customHeight="1">
      <c r="D173" s="243"/>
      <c r="G173" s="243"/>
      <c r="K173" s="244"/>
      <c r="N173" s="244"/>
      <c r="T173" s="245"/>
      <c r="Z173" s="246"/>
    </row>
    <row r="174" ht="15.75" customHeight="1">
      <c r="D174" s="243"/>
      <c r="G174" s="243"/>
      <c r="K174" s="244"/>
      <c r="N174" s="244"/>
      <c r="T174" s="245"/>
      <c r="Z174" s="246"/>
    </row>
    <row r="175" ht="15.75" customHeight="1">
      <c r="D175" s="243"/>
      <c r="G175" s="243"/>
      <c r="K175" s="244"/>
      <c r="N175" s="244"/>
      <c r="T175" s="245"/>
      <c r="Z175" s="246"/>
    </row>
    <row r="176" ht="15.75" customHeight="1">
      <c r="D176" s="243"/>
      <c r="G176" s="243"/>
      <c r="K176" s="244"/>
      <c r="N176" s="244"/>
      <c r="T176" s="245"/>
      <c r="Z176" s="246"/>
    </row>
    <row r="177" ht="15.75" customHeight="1">
      <c r="D177" s="243"/>
      <c r="G177" s="243"/>
      <c r="K177" s="244"/>
      <c r="N177" s="244"/>
      <c r="T177" s="245"/>
      <c r="Z177" s="246"/>
    </row>
    <row r="178" ht="15.75" customHeight="1">
      <c r="D178" s="243"/>
      <c r="G178" s="243"/>
      <c r="K178" s="244"/>
      <c r="N178" s="244"/>
      <c r="T178" s="245"/>
      <c r="Z178" s="246"/>
    </row>
    <row r="179" ht="15.75" customHeight="1">
      <c r="D179" s="243"/>
      <c r="G179" s="243"/>
      <c r="K179" s="244"/>
      <c r="N179" s="244"/>
      <c r="T179" s="245"/>
      <c r="Z179" s="246"/>
    </row>
    <row r="180" ht="15.75" customHeight="1">
      <c r="D180" s="243"/>
      <c r="G180" s="243"/>
      <c r="K180" s="244"/>
      <c r="N180" s="244"/>
      <c r="T180" s="245"/>
      <c r="Z180" s="246"/>
    </row>
    <row r="181" ht="15.75" customHeight="1">
      <c r="D181" s="243"/>
      <c r="G181" s="243"/>
      <c r="K181" s="244"/>
      <c r="N181" s="244"/>
      <c r="T181" s="245"/>
      <c r="Z181" s="246"/>
    </row>
    <row r="182" ht="15.75" customHeight="1">
      <c r="D182" s="243"/>
      <c r="G182" s="243"/>
      <c r="K182" s="244"/>
      <c r="N182" s="244"/>
      <c r="T182" s="245"/>
      <c r="Z182" s="246"/>
    </row>
    <row r="183" ht="15.75" customHeight="1">
      <c r="D183" s="243"/>
      <c r="G183" s="243"/>
      <c r="K183" s="244"/>
      <c r="N183" s="244"/>
      <c r="T183" s="245"/>
      <c r="Z183" s="246"/>
    </row>
    <row r="184" ht="15.75" customHeight="1">
      <c r="D184" s="243"/>
      <c r="G184" s="243"/>
      <c r="K184" s="244"/>
      <c r="N184" s="244"/>
      <c r="T184" s="245"/>
      <c r="Z184" s="246"/>
    </row>
    <row r="185" ht="15.75" customHeight="1">
      <c r="D185" s="243"/>
      <c r="G185" s="243"/>
      <c r="K185" s="244"/>
      <c r="N185" s="244"/>
      <c r="T185" s="245"/>
      <c r="Z185" s="246"/>
    </row>
    <row r="186" ht="15.75" customHeight="1">
      <c r="D186" s="243"/>
      <c r="G186" s="243"/>
      <c r="K186" s="244"/>
      <c r="N186" s="244"/>
      <c r="T186" s="245"/>
      <c r="Z186" s="246"/>
    </row>
    <row r="187" ht="15.75" customHeight="1">
      <c r="D187" s="243"/>
      <c r="G187" s="243"/>
      <c r="K187" s="244"/>
      <c r="N187" s="244"/>
      <c r="T187" s="245"/>
      <c r="Z187" s="246"/>
    </row>
    <row r="188" ht="15.75" customHeight="1">
      <c r="D188" s="243"/>
      <c r="G188" s="243"/>
      <c r="K188" s="244"/>
      <c r="N188" s="244"/>
      <c r="T188" s="245"/>
      <c r="Z188" s="246"/>
    </row>
    <row r="189" ht="15.75" customHeight="1">
      <c r="D189" s="243"/>
      <c r="G189" s="243"/>
      <c r="K189" s="244"/>
      <c r="N189" s="244"/>
      <c r="T189" s="245"/>
      <c r="Z189" s="246"/>
    </row>
    <row r="190" ht="15.75" customHeight="1">
      <c r="D190" s="243"/>
      <c r="G190" s="243"/>
      <c r="K190" s="244"/>
      <c r="N190" s="244"/>
      <c r="T190" s="245"/>
      <c r="Z190" s="246"/>
    </row>
    <row r="191" ht="15.75" customHeight="1">
      <c r="D191" s="243"/>
      <c r="G191" s="243"/>
      <c r="K191" s="244"/>
      <c r="N191" s="244"/>
      <c r="T191" s="245"/>
      <c r="Z191" s="246"/>
    </row>
    <row r="192" ht="15.75" customHeight="1">
      <c r="D192" s="243"/>
      <c r="G192" s="243"/>
      <c r="K192" s="244"/>
      <c r="N192" s="244"/>
      <c r="T192" s="245"/>
      <c r="Z192" s="246"/>
    </row>
    <row r="193" ht="15.75" customHeight="1">
      <c r="D193" s="243"/>
      <c r="G193" s="243"/>
      <c r="K193" s="244"/>
      <c r="N193" s="244"/>
      <c r="T193" s="245"/>
      <c r="Z193" s="246"/>
    </row>
    <row r="194" ht="15.75" customHeight="1">
      <c r="D194" s="243"/>
      <c r="G194" s="243"/>
      <c r="K194" s="244"/>
      <c r="N194" s="244"/>
      <c r="T194" s="245"/>
      <c r="Z194" s="246"/>
    </row>
    <row r="195" ht="15.75" customHeight="1">
      <c r="D195" s="243"/>
      <c r="G195" s="243"/>
      <c r="K195" s="244"/>
      <c r="N195" s="244"/>
      <c r="T195" s="245"/>
      <c r="Z195" s="246"/>
    </row>
    <row r="196" ht="15.75" customHeight="1">
      <c r="D196" s="243"/>
      <c r="G196" s="243"/>
      <c r="K196" s="244"/>
      <c r="N196" s="244"/>
      <c r="T196" s="245"/>
      <c r="Z196" s="246"/>
    </row>
    <row r="197" ht="15.75" customHeight="1">
      <c r="D197" s="243"/>
      <c r="G197" s="243"/>
      <c r="K197" s="244"/>
      <c r="N197" s="244"/>
      <c r="T197" s="245"/>
      <c r="Z197" s="246"/>
    </row>
    <row r="198" ht="15.75" customHeight="1">
      <c r="D198" s="243"/>
      <c r="G198" s="243"/>
      <c r="K198" s="244"/>
      <c r="N198" s="244"/>
      <c r="T198" s="245"/>
      <c r="Z198" s="246"/>
    </row>
    <row r="199" ht="15.75" customHeight="1">
      <c r="D199" s="243"/>
      <c r="G199" s="243"/>
      <c r="K199" s="244"/>
      <c r="N199" s="244"/>
      <c r="T199" s="245"/>
      <c r="Z199" s="246"/>
    </row>
    <row r="200" ht="15.75" customHeight="1">
      <c r="D200" s="243"/>
      <c r="G200" s="243"/>
      <c r="K200" s="244"/>
      <c r="N200" s="244"/>
      <c r="T200" s="245"/>
      <c r="Z200" s="246"/>
    </row>
    <row r="201" ht="15.75" customHeight="1">
      <c r="D201" s="243"/>
      <c r="G201" s="243"/>
      <c r="K201" s="244"/>
      <c r="N201" s="244"/>
      <c r="T201" s="245"/>
      <c r="Z201" s="246"/>
    </row>
    <row r="202" ht="15.75" customHeight="1">
      <c r="D202" s="243"/>
      <c r="G202" s="243"/>
      <c r="K202" s="244"/>
      <c r="N202" s="244"/>
      <c r="T202" s="245"/>
      <c r="Z202" s="246"/>
    </row>
    <row r="203" ht="15.75" customHeight="1">
      <c r="D203" s="243"/>
      <c r="G203" s="243"/>
      <c r="K203" s="244"/>
      <c r="N203" s="244"/>
      <c r="T203" s="245"/>
      <c r="Z203" s="246"/>
    </row>
    <row r="204" ht="15.75" customHeight="1">
      <c r="D204" s="243"/>
      <c r="G204" s="243"/>
      <c r="K204" s="244"/>
      <c r="N204" s="244"/>
      <c r="T204" s="245"/>
      <c r="Z204" s="246"/>
    </row>
    <row r="205" ht="15.75" customHeight="1">
      <c r="D205" s="243"/>
      <c r="G205" s="243"/>
      <c r="K205" s="244"/>
      <c r="N205" s="244"/>
      <c r="T205" s="245"/>
      <c r="Z205" s="246"/>
    </row>
    <row r="206" ht="15.75" customHeight="1">
      <c r="D206" s="243"/>
      <c r="G206" s="243"/>
      <c r="K206" s="244"/>
      <c r="N206" s="244"/>
      <c r="T206" s="245"/>
      <c r="Z206" s="246"/>
    </row>
    <row r="207" ht="15.75" customHeight="1">
      <c r="D207" s="243"/>
      <c r="G207" s="243"/>
      <c r="K207" s="244"/>
      <c r="N207" s="244"/>
      <c r="T207" s="245"/>
      <c r="Z207" s="246"/>
    </row>
    <row r="208" ht="15.75" customHeight="1">
      <c r="D208" s="243"/>
      <c r="G208" s="243"/>
      <c r="K208" s="244"/>
      <c r="N208" s="244"/>
      <c r="T208" s="245"/>
      <c r="Z208" s="246"/>
    </row>
    <row r="209" ht="15.75" customHeight="1">
      <c r="D209" s="243"/>
      <c r="G209" s="243"/>
      <c r="K209" s="244"/>
      <c r="N209" s="244"/>
      <c r="T209" s="245"/>
      <c r="Z209" s="246"/>
    </row>
    <row r="210" ht="15.75" customHeight="1">
      <c r="D210" s="243"/>
      <c r="G210" s="243"/>
      <c r="K210" s="244"/>
      <c r="N210" s="244"/>
      <c r="T210" s="245"/>
      <c r="Z210" s="246"/>
    </row>
    <row r="211" ht="15.75" customHeight="1">
      <c r="D211" s="243"/>
      <c r="G211" s="243"/>
      <c r="K211" s="244"/>
      <c r="N211" s="244"/>
      <c r="T211" s="245"/>
      <c r="Z211" s="246"/>
    </row>
    <row r="212" ht="15.75" customHeight="1">
      <c r="D212" s="243"/>
      <c r="G212" s="243"/>
      <c r="K212" s="244"/>
      <c r="N212" s="244"/>
      <c r="T212" s="245"/>
      <c r="Z212" s="246"/>
    </row>
    <row r="213" ht="15.75" customHeight="1">
      <c r="D213" s="243"/>
      <c r="G213" s="243"/>
      <c r="K213" s="244"/>
      <c r="N213" s="244"/>
      <c r="T213" s="245"/>
      <c r="Z213" s="246"/>
    </row>
    <row r="214" ht="15.75" customHeight="1">
      <c r="D214" s="243"/>
      <c r="G214" s="243"/>
      <c r="K214" s="244"/>
      <c r="N214" s="244"/>
      <c r="T214" s="245"/>
      <c r="Z214" s="246"/>
    </row>
    <row r="215" ht="15.75" customHeight="1">
      <c r="D215" s="243"/>
      <c r="G215" s="243"/>
      <c r="K215" s="244"/>
      <c r="N215" s="244"/>
      <c r="T215" s="245"/>
      <c r="Z215" s="246"/>
    </row>
    <row r="216" ht="15.75" customHeight="1">
      <c r="D216" s="243"/>
      <c r="G216" s="243"/>
      <c r="K216" s="244"/>
      <c r="N216" s="244"/>
      <c r="T216" s="245"/>
      <c r="Z216" s="246"/>
    </row>
    <row r="217" ht="15.75" customHeight="1">
      <c r="D217" s="243"/>
      <c r="G217" s="243"/>
      <c r="K217" s="244"/>
      <c r="N217" s="244"/>
      <c r="T217" s="245"/>
      <c r="Z217" s="246"/>
    </row>
    <row r="218" ht="15.75" customHeight="1">
      <c r="D218" s="243"/>
      <c r="G218" s="243"/>
      <c r="K218" s="244"/>
      <c r="N218" s="244"/>
      <c r="T218" s="245"/>
      <c r="Z218" s="246"/>
    </row>
    <row r="219" ht="15.75" customHeight="1">
      <c r="D219" s="243"/>
      <c r="G219" s="243"/>
      <c r="K219" s="244"/>
      <c r="N219" s="244"/>
      <c r="T219" s="245"/>
      <c r="Z219" s="246"/>
    </row>
    <row r="220" ht="15.75" customHeight="1">
      <c r="D220" s="243"/>
      <c r="G220" s="243"/>
      <c r="K220" s="244"/>
      <c r="N220" s="244"/>
      <c r="T220" s="245"/>
      <c r="Z220" s="24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56" t="s">
        <v>111</v>
      </c>
      <c r="B1" s="252" t="s">
        <v>10</v>
      </c>
      <c r="C1" s="58"/>
      <c r="D1" s="58"/>
      <c r="E1" s="252" t="s">
        <v>17</v>
      </c>
      <c r="F1" s="58"/>
      <c r="G1" s="58"/>
      <c r="H1" s="253" t="s">
        <v>25</v>
      </c>
      <c r="I1" s="58"/>
      <c r="J1" s="58"/>
      <c r="K1" s="254" t="s">
        <v>33</v>
      </c>
      <c r="L1" s="58"/>
      <c r="M1" s="58"/>
      <c r="N1" s="254" t="s">
        <v>40</v>
      </c>
      <c r="O1" s="58"/>
      <c r="P1" s="58"/>
      <c r="Q1" s="255" t="s">
        <v>140</v>
      </c>
      <c r="R1" s="58"/>
      <c r="S1" s="58"/>
      <c r="T1" s="255" t="s">
        <v>51</v>
      </c>
      <c r="U1" s="58"/>
      <c r="V1" s="58"/>
      <c r="W1" s="255" t="s">
        <v>58</v>
      </c>
      <c r="X1" s="58"/>
      <c r="Y1" s="58"/>
      <c r="Z1" s="255" t="s">
        <v>65</v>
      </c>
      <c r="AA1" s="58"/>
      <c r="AB1" s="58"/>
      <c r="AC1" s="255" t="s">
        <v>66</v>
      </c>
      <c r="AD1" s="58"/>
      <c r="AE1" s="58"/>
      <c r="AF1" s="255" t="s">
        <v>73</v>
      </c>
      <c r="AG1" s="58"/>
      <c r="AH1" s="58"/>
      <c r="AI1" s="256" t="s">
        <v>75</v>
      </c>
      <c r="AJ1" s="62" t="s">
        <v>113</v>
      </c>
      <c r="AK1" s="398" t="s">
        <v>135</v>
      </c>
      <c r="AL1" s="398" t="s">
        <v>136</v>
      </c>
      <c r="AM1" s="398" t="s">
        <v>137</v>
      </c>
      <c r="AN1" s="398" t="s">
        <v>138</v>
      </c>
      <c r="AO1" s="398" t="s">
        <v>139</v>
      </c>
    </row>
    <row r="2" ht="24.0" customHeight="1">
      <c r="A2" s="63"/>
      <c r="B2" s="257" t="s">
        <v>114</v>
      </c>
      <c r="C2" s="258" t="s">
        <v>115</v>
      </c>
      <c r="D2" s="259" t="s">
        <v>116</v>
      </c>
      <c r="E2" s="257" t="s">
        <v>114</v>
      </c>
      <c r="F2" s="258" t="s">
        <v>115</v>
      </c>
      <c r="G2" s="259" t="s">
        <v>116</v>
      </c>
      <c r="H2" s="257" t="s">
        <v>114</v>
      </c>
      <c r="I2" s="258" t="s">
        <v>115</v>
      </c>
      <c r="J2" s="259" t="s">
        <v>116</v>
      </c>
      <c r="K2" s="257" t="s">
        <v>114</v>
      </c>
      <c r="L2" s="258" t="s">
        <v>115</v>
      </c>
      <c r="M2" s="259" t="s">
        <v>116</v>
      </c>
      <c r="N2" s="257" t="s">
        <v>114</v>
      </c>
      <c r="O2" s="258" t="s">
        <v>115</v>
      </c>
      <c r="P2" s="259" t="s">
        <v>116</v>
      </c>
      <c r="Q2" s="257" t="s">
        <v>114</v>
      </c>
      <c r="R2" s="258" t="s">
        <v>115</v>
      </c>
      <c r="S2" s="259" t="s">
        <v>116</v>
      </c>
      <c r="T2" s="257" t="s">
        <v>114</v>
      </c>
      <c r="U2" s="258" t="s">
        <v>115</v>
      </c>
      <c r="V2" s="259" t="s">
        <v>116</v>
      </c>
      <c r="W2" s="257" t="s">
        <v>114</v>
      </c>
      <c r="X2" s="258" t="s">
        <v>115</v>
      </c>
      <c r="Y2" s="259" t="s">
        <v>116</v>
      </c>
      <c r="Z2" s="257" t="s">
        <v>114</v>
      </c>
      <c r="AA2" s="258" t="s">
        <v>115</v>
      </c>
      <c r="AB2" s="259" t="s">
        <v>116</v>
      </c>
      <c r="AC2" s="257" t="s">
        <v>114</v>
      </c>
      <c r="AD2" s="258" t="s">
        <v>115</v>
      </c>
      <c r="AE2" s="259" t="s">
        <v>116</v>
      </c>
      <c r="AF2" s="257" t="s">
        <v>114</v>
      </c>
      <c r="AG2" s="258" t="s">
        <v>115</v>
      </c>
      <c r="AH2" s="259" t="s">
        <v>116</v>
      </c>
      <c r="AI2" s="257" t="s">
        <v>114</v>
      </c>
      <c r="AJ2" s="399" t="s">
        <v>115</v>
      </c>
      <c r="AK2" s="400"/>
      <c r="AL2" s="400"/>
      <c r="AM2" s="400"/>
      <c r="AN2" s="400"/>
      <c r="AO2" s="400"/>
    </row>
    <row r="3" ht="21.75" customHeight="1">
      <c r="A3" s="68" t="s">
        <v>117</v>
      </c>
      <c r="B3" s="260" t="str">
        <f>100%+'Quaterly Tables'!I3</f>
        <v>#REF!</v>
      </c>
      <c r="C3" s="261" t="str">
        <f t="shared" ref="C3:C8" si="1">IFERROR(ROUND(ifs(B3="","",B3&gt;=1.05,5,B3&gt;=1.02,4+(B3-1.02)/0.03,B3&gt;=0.99,3+(B3-0.99)/0.03,B3&gt;=0.95,2+(B3-0.95)/0.04,B3&gt;=0.9,1+(B3-0.9)/0.05,TRUE(),0),1),"")</f>
        <v/>
      </c>
      <c r="D3" s="71" t="str">
        <f t="shared" ref="D3:D8" si="2">IF(C3="","",C3*C$9)</f>
        <v/>
      </c>
      <c r="E3" s="262" t="str">
        <f>100%+'Quaterly Tables'!F3</f>
        <v>#REF!</v>
      </c>
      <c r="F3" s="261" t="str">
        <f t="shared" ref="F3:F8" si="3">IFERROR(ROUND(ifs(E3="","",E3&gt;=1.15,5,E3&gt;=1.075,4+(E3-1.075)/0.075,E3&gt;=1.05,3+(E3-1.05)/0.025,E3&gt;=1,2+(E3-1)/0.05,E3&gt;=0.95,1+(E3-0.95)/0.05,TRUE(),0),1),"")</f>
        <v/>
      </c>
      <c r="G3" s="71" t="str">
        <f t="shared" ref="G3:G8" si="4">IF(F3="","",F3*F$9)</f>
        <v/>
      </c>
      <c r="H3" s="263" t="str">
        <f>100%+'Quaterly Tables'!V3</f>
        <v>#REF!</v>
      </c>
      <c r="I3" s="261" t="str">
        <f t="shared" ref="I3:I8" si="5">IFERROR(ROUND(ifs(H3="","",H3&gt;=1.05,5,H3&gt;=1.01,4+(H3-1.01)/0.04,H3&gt;=0.95,3+(H3-0.95)/0.06,H3&gt;=0.85,2+(H3-0.85)/0.1,H3&gt;=0.75,1+(H3-0.75)/0.1,TRUE(),0),1),"")</f>
        <v/>
      </c>
      <c r="J3" s="71" t="str">
        <f t="shared" ref="J3:J8" si="6">IF(I3="","",I3*I$9)</f>
        <v/>
      </c>
      <c r="K3" s="264" t="str">
        <f>'Quaterly Tables'!L3*100</f>
        <v>#REF!</v>
      </c>
      <c r="L3" s="261" t="str">
        <f t="shared" ref="L3:L8" si="7">IFERROR(ROUND(IFS(K3="","",K3&gt;=3,0,K3&gt;=2,1+(3-K3)/1,K3&gt;=1,2+(2-K3)/1,K3&gt;0,3+(1-K3)/1,K3&gt;=-1,4+(0-K3)/1,TRUE,5),1),"")</f>
        <v/>
      </c>
      <c r="M3" s="71" t="str">
        <f t="shared" ref="M3:M8" si="8">IF(L3="","",L3*L$9)</f>
        <v/>
      </c>
      <c r="N3" s="265" t="str">
        <f>'Quaterly Tables'!O3*100</f>
        <v>#REF!</v>
      </c>
      <c r="O3" s="261" t="str">
        <f t="shared" ref="O3:O8" si="9">IFERROR(ROUND(IFS(N3="","",N3&gt;=3,0,N3&gt;=2,1+(3-N3)/1,N3&gt;=1,2+(2-N3)/1,N3&gt;0,3+(1-N3)/1,N3&gt;=-1,4+(0-N3)/1,TRUE,5),1),"")</f>
        <v/>
      </c>
      <c r="P3" s="71" t="str">
        <f t="shared" ref="P3:P8" si="10">IF(O3="","",O3*O$9)</f>
        <v/>
      </c>
      <c r="Q3" s="266">
        <f>'Quaterly Tables'!E12</f>
        <v>5</v>
      </c>
      <c r="R3" s="261">
        <f t="shared" ref="R3:R8" si="11">IF(OR(NOT(ISNUMBER(Q3)),Q3=0),"",IFERROR(ROUND(ifs(Q3&gt;=4.7,5,Q3&gt;=4.5,4+(Q3-4.5)/0.2,Q3&gt;=4.3,3+(Q3-4.3)/0.2,Q3&gt;=4,2+(Q3-4)/0.3,Q3&gt;=3.8,1+(Q3-3.8)/0.2,TRUE(),0),1),""))</f>
        <v>5</v>
      </c>
      <c r="S3" s="71">
        <f t="shared" ref="S3:S8" si="12">IF(R3="","",R3*R$9)</f>
        <v>1.05</v>
      </c>
      <c r="T3" s="267">
        <f>'Quaterly Tables'!I20</f>
        <v>0.0405</v>
      </c>
      <c r="U3" s="261">
        <f t="shared" ref="U3:U8" si="13">IFERROR(ROUND(ifs(T3="","",T3&lt;=0.01,5,T3&lt;=0.015,4+(0.015-T3)/0.005,T3&lt;=0.02,3+(0.02-T3)/0.005,T3&lt;=0.04,2+(0.04-T3)/0.02,T3&lt;=0.06,1+(0.06-T3)/0.02,TRUE(),0),1),"")</f>
        <v>2</v>
      </c>
      <c r="V3" s="71">
        <f t="shared" ref="V3:V8" si="14">IF(U3="","",U3*U$9)</f>
        <v>0.17</v>
      </c>
      <c r="W3" s="268">
        <f>'Quaterly Tables'!H31</f>
        <v>0.57</v>
      </c>
      <c r="X3" s="261">
        <f t="shared" ref="X3:X8" si="15">IFERROR(ROUND(ifs(W3="","",W3&lt;=1,5,W3&lt;=1.5,4+(1.5-W3)/0.5,W3&lt;=2,3+(2-W3)/0.5,W3&lt;=5,2+(5-W3)/3,W3&lt;=8,1+(8-W3)/3,TRUE(),0),1),"")</f>
        <v>5</v>
      </c>
      <c r="Y3" s="71">
        <f t="shared" ref="Y3:Y8" si="16">IF(X3="","",X3*X$9)</f>
        <v>0.325</v>
      </c>
      <c r="Z3" s="269">
        <f>'Quaterly Tables'!E20</f>
        <v>4</v>
      </c>
      <c r="AA3" s="261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71">
        <f t="shared" ref="AB3:AB8" si="18">IF(AA3="","",AA3*AA$9)</f>
        <v>0.13</v>
      </c>
      <c r="AC3" s="270">
        <v>92.0</v>
      </c>
      <c r="AD3" s="261">
        <f t="shared" ref="AD3:AD8" si="19">IFERROR(ROUND(ifs(AC3="","",AC3&gt;=94,5,AC3&gt;=89,4+(AC3-89)/5,AC3&gt;=83,3+(AC3-83)/6,AC3&gt;=75,2+(AC3-75)/8,AC3&gt;=70,1+(AC3-70)/5,TRUE(),0),1),"")</f>
        <v>4.6</v>
      </c>
      <c r="AE3" s="71">
        <f t="shared" ref="AE3:AE8" si="20">IF(AD3="","",AD3*AD$9)</f>
        <v>0.483</v>
      </c>
      <c r="AF3" s="271">
        <v>90.0</v>
      </c>
      <c r="AG3" s="261">
        <f t="shared" ref="AG3:AG8" si="21">IFERROR(ROUND(ifs(AF3="","",AF3&gt;=94,5,AF3&gt;=89,4+(AF3-89)/5,AF3&gt;=83,3+(AF3-83)/6,AF3&gt;=75,2+(AF3-75)/8,AF3&gt;=70,1+(AF3-70)/5,TRUE(),0),1),"")</f>
        <v>4.2</v>
      </c>
      <c r="AH3" s="71">
        <f t="shared" ref="AH3:AH8" si="22">IF(AG3="","",AG3*AG$9)</f>
        <v>0.231</v>
      </c>
      <c r="AI3" s="401">
        <v>0.89</v>
      </c>
      <c r="AJ3" s="402">
        <f t="shared" ref="AJ3:AJ8" si="23">SUM(D3,G3,J3,M3,P3,S3,V3,Y3,AB3,AE3,AH3)</f>
        <v>2.389</v>
      </c>
      <c r="AK3" s="403" t="str">
        <f t="shared" ref="AK3:AK7" si="24">IF(AND(AJ3&gt;=2.7,AI3&gt;=87%),"Eligible","Not Eligible")</f>
        <v>Not Eligible</v>
      </c>
      <c r="AL3" s="287">
        <f t="shared" ref="AL3:AL7" si="25">IF(AK3&lt;&gt;"Eligible",0,IF(AJ3&lt;3.7,0.5,IF(AJ3&lt;4.7,0.75,1)))</f>
        <v>0</v>
      </c>
      <c r="AM3" s="404">
        <v>10000.0</v>
      </c>
      <c r="AN3" s="405">
        <f t="shared" ref="AN3:AN7" si="26">AM3*AL3</f>
        <v>0</v>
      </c>
      <c r="AO3" s="405">
        <f t="shared" ref="AO3:AO8" si="27">AN3/4</f>
        <v>0</v>
      </c>
    </row>
    <row r="4" ht="21.75" customHeight="1">
      <c r="A4" s="68" t="s">
        <v>118</v>
      </c>
      <c r="B4" s="260" t="str">
        <f>100%+'Quaterly Tables'!I4</f>
        <v>#DIV/0!</v>
      </c>
      <c r="C4" s="261" t="str">
        <f t="shared" si="1"/>
        <v/>
      </c>
      <c r="D4" s="71" t="str">
        <f t="shared" si="2"/>
        <v/>
      </c>
      <c r="E4" s="262" t="str">
        <f>100%+'Quaterly Tables'!F4</f>
        <v>#DIV/0!</v>
      </c>
      <c r="F4" s="261" t="str">
        <f t="shared" si="3"/>
        <v/>
      </c>
      <c r="G4" s="71" t="str">
        <f t="shared" si="4"/>
        <v/>
      </c>
      <c r="H4" s="263">
        <f>100%+'Quaterly Tables'!V4</f>
        <v>1</v>
      </c>
      <c r="I4" s="261">
        <f t="shared" si="5"/>
        <v>3.8</v>
      </c>
      <c r="J4" s="71">
        <f t="shared" si="6"/>
        <v>0.475</v>
      </c>
      <c r="K4" s="264">
        <f>'Quaterly Tables'!L4*100</f>
        <v>0</v>
      </c>
      <c r="L4" s="261">
        <f t="shared" si="7"/>
        <v>4</v>
      </c>
      <c r="M4" s="71">
        <f t="shared" si="8"/>
        <v>0.42</v>
      </c>
      <c r="N4" s="265">
        <f>'Quaterly Tables'!O4*100</f>
        <v>0</v>
      </c>
      <c r="O4" s="261">
        <f t="shared" si="9"/>
        <v>4</v>
      </c>
      <c r="P4" s="71">
        <f t="shared" si="10"/>
        <v>0.42</v>
      </c>
      <c r="Q4" s="266">
        <f>'Quaterly Tables'!E13</f>
        <v>3</v>
      </c>
      <c r="R4" s="261">
        <f t="shared" si="11"/>
        <v>0</v>
      </c>
      <c r="S4" s="71">
        <f t="shared" si="12"/>
        <v>0</v>
      </c>
      <c r="T4" s="267">
        <f>'Quaterly Tables'!I23</f>
        <v>0.0315</v>
      </c>
      <c r="U4" s="261">
        <f t="shared" si="13"/>
        <v>2.4</v>
      </c>
      <c r="V4" s="71">
        <f t="shared" si="14"/>
        <v>0.204</v>
      </c>
      <c r="W4" s="268">
        <f>'Quaterly Tables'!H34</f>
        <v>1.48</v>
      </c>
      <c r="X4" s="261">
        <f t="shared" si="15"/>
        <v>4</v>
      </c>
      <c r="Y4" s="71">
        <f t="shared" si="16"/>
        <v>0.26</v>
      </c>
      <c r="Z4" s="269">
        <f>'Quaterly Tables'!E23</f>
        <v>4.4</v>
      </c>
      <c r="AA4" s="261">
        <f t="shared" si="17"/>
        <v>3.5</v>
      </c>
      <c r="AB4" s="71">
        <f t="shared" si="18"/>
        <v>0.2275</v>
      </c>
      <c r="AC4" s="270">
        <v>88.0</v>
      </c>
      <c r="AD4" s="261">
        <f t="shared" si="19"/>
        <v>3.8</v>
      </c>
      <c r="AE4" s="71">
        <f t="shared" si="20"/>
        <v>0.399</v>
      </c>
      <c r="AF4" s="271">
        <v>86.0</v>
      </c>
      <c r="AG4" s="261">
        <f t="shared" si="21"/>
        <v>3.5</v>
      </c>
      <c r="AH4" s="71">
        <f t="shared" si="22"/>
        <v>0.1925</v>
      </c>
      <c r="AI4" s="401">
        <v>0.87</v>
      </c>
      <c r="AJ4" s="402">
        <f t="shared" si="23"/>
        <v>2.598</v>
      </c>
      <c r="AK4" s="403" t="str">
        <f t="shared" si="24"/>
        <v>Not Eligible</v>
      </c>
      <c r="AL4" s="287">
        <f t="shared" si="25"/>
        <v>0</v>
      </c>
      <c r="AM4" s="404">
        <v>10000.0</v>
      </c>
      <c r="AN4" s="405">
        <f t="shared" si="26"/>
        <v>0</v>
      </c>
      <c r="AO4" s="405">
        <f t="shared" si="27"/>
        <v>0</v>
      </c>
    </row>
    <row r="5" ht="21.75" customHeight="1">
      <c r="A5" s="68" t="s">
        <v>119</v>
      </c>
      <c r="B5" s="260" t="str">
        <f>100%+'Quaterly Tables'!I5</f>
        <v>#DIV/0!</v>
      </c>
      <c r="C5" s="261" t="str">
        <f t="shared" si="1"/>
        <v/>
      </c>
      <c r="D5" s="71" t="str">
        <f t="shared" si="2"/>
        <v/>
      </c>
      <c r="E5" s="262" t="str">
        <f>100%+'Quaterly Tables'!F5</f>
        <v>#DIV/0!</v>
      </c>
      <c r="F5" s="261" t="str">
        <f t="shared" si="3"/>
        <v/>
      </c>
      <c r="G5" s="71" t="str">
        <f t="shared" si="4"/>
        <v/>
      </c>
      <c r="H5" s="263">
        <f>100%+'Quaterly Tables'!V5</f>
        <v>1</v>
      </c>
      <c r="I5" s="261">
        <f t="shared" si="5"/>
        <v>3.8</v>
      </c>
      <c r="J5" s="71">
        <f t="shared" si="6"/>
        <v>0.475</v>
      </c>
      <c r="K5" s="264">
        <f>'Quaterly Tables'!L5*100</f>
        <v>0</v>
      </c>
      <c r="L5" s="261">
        <f t="shared" si="7"/>
        <v>4</v>
      </c>
      <c r="M5" s="71">
        <f t="shared" si="8"/>
        <v>0.42</v>
      </c>
      <c r="N5" s="265">
        <f>'Quaterly Tables'!O5*100</f>
        <v>0</v>
      </c>
      <c r="O5" s="261">
        <f t="shared" si="9"/>
        <v>4</v>
      </c>
      <c r="P5" s="71">
        <f t="shared" si="10"/>
        <v>0.42</v>
      </c>
      <c r="Q5" s="266">
        <f>'Quaterly Tables'!E14</f>
        <v>4.33</v>
      </c>
      <c r="R5" s="261">
        <f t="shared" si="11"/>
        <v>3.2</v>
      </c>
      <c r="S5" s="71">
        <f t="shared" si="12"/>
        <v>0.672</v>
      </c>
      <c r="T5" s="267">
        <f>'Quaterly Tables'!I21</f>
        <v>0.0264</v>
      </c>
      <c r="U5" s="261">
        <f t="shared" si="13"/>
        <v>2.7</v>
      </c>
      <c r="V5" s="71">
        <f t="shared" si="14"/>
        <v>0.2295</v>
      </c>
      <c r="W5" s="268">
        <f>'Quaterly Tables'!H32</f>
        <v>0.59</v>
      </c>
      <c r="X5" s="261">
        <f t="shared" si="15"/>
        <v>5</v>
      </c>
      <c r="Y5" s="71">
        <f t="shared" si="16"/>
        <v>0.325</v>
      </c>
      <c r="Z5" s="269">
        <f>'Quaterly Tables'!E21</f>
        <v>4.5</v>
      </c>
      <c r="AA5" s="261">
        <f t="shared" si="17"/>
        <v>4</v>
      </c>
      <c r="AB5" s="71">
        <f t="shared" si="18"/>
        <v>0.26</v>
      </c>
      <c r="AC5" s="270">
        <v>91.0</v>
      </c>
      <c r="AD5" s="261">
        <f t="shared" si="19"/>
        <v>4.4</v>
      </c>
      <c r="AE5" s="71">
        <f t="shared" si="20"/>
        <v>0.462</v>
      </c>
      <c r="AF5" s="271">
        <v>93.0</v>
      </c>
      <c r="AG5" s="261">
        <f t="shared" si="21"/>
        <v>4.8</v>
      </c>
      <c r="AH5" s="71">
        <f t="shared" si="22"/>
        <v>0.264</v>
      </c>
      <c r="AI5" s="401">
        <v>0.93</v>
      </c>
      <c r="AJ5" s="402">
        <f t="shared" si="23"/>
        <v>3.5275</v>
      </c>
      <c r="AK5" s="403" t="str">
        <f t="shared" si="24"/>
        <v>Eligible</v>
      </c>
      <c r="AL5" s="287">
        <f t="shared" si="25"/>
        <v>0.5</v>
      </c>
      <c r="AM5" s="404">
        <v>10000.0</v>
      </c>
      <c r="AN5" s="405">
        <f t="shared" si="26"/>
        <v>5000</v>
      </c>
      <c r="AO5" s="405">
        <f t="shared" si="27"/>
        <v>1250</v>
      </c>
    </row>
    <row r="6" ht="21.75" customHeight="1">
      <c r="A6" s="68" t="s">
        <v>120</v>
      </c>
      <c r="B6" s="260" t="str">
        <f>100%+'Quaterly Tables'!I6</f>
        <v>#DIV/0!</v>
      </c>
      <c r="C6" s="261" t="str">
        <f t="shared" si="1"/>
        <v/>
      </c>
      <c r="D6" s="71" t="str">
        <f t="shared" si="2"/>
        <v/>
      </c>
      <c r="E6" s="262" t="str">
        <f>100%+'Quaterly Tables'!F6</f>
        <v>#DIV/0!</v>
      </c>
      <c r="F6" s="261" t="str">
        <f t="shared" si="3"/>
        <v/>
      </c>
      <c r="G6" s="71" t="str">
        <f t="shared" si="4"/>
        <v/>
      </c>
      <c r="H6" s="263">
        <f>100%+'Quaterly Tables'!V6</f>
        <v>1</v>
      </c>
      <c r="I6" s="261">
        <f t="shared" si="5"/>
        <v>3.8</v>
      </c>
      <c r="J6" s="71">
        <f t="shared" si="6"/>
        <v>0.475</v>
      </c>
      <c r="K6" s="264">
        <f>'Quaterly Tables'!L6*100</f>
        <v>0</v>
      </c>
      <c r="L6" s="261">
        <f t="shared" si="7"/>
        <v>4</v>
      </c>
      <c r="M6" s="71">
        <f t="shared" si="8"/>
        <v>0.42</v>
      </c>
      <c r="N6" s="265">
        <f>'Quaterly Tables'!O6*100</f>
        <v>0</v>
      </c>
      <c r="O6" s="261">
        <f t="shared" si="9"/>
        <v>4</v>
      </c>
      <c r="P6" s="71">
        <f t="shared" si="10"/>
        <v>0.42</v>
      </c>
      <c r="Q6" s="266">
        <f>'Quaterly Tables'!E15</f>
        <v>4.67</v>
      </c>
      <c r="R6" s="261">
        <f t="shared" si="11"/>
        <v>4.9</v>
      </c>
      <c r="S6" s="71">
        <f t="shared" si="12"/>
        <v>1.029</v>
      </c>
      <c r="T6" s="267">
        <f>'Quaterly Tables'!I22</f>
        <v>0.0315</v>
      </c>
      <c r="U6" s="261">
        <f t="shared" si="13"/>
        <v>2.4</v>
      </c>
      <c r="V6" s="71">
        <f t="shared" si="14"/>
        <v>0.204</v>
      </c>
      <c r="W6" s="268">
        <f>'Quaterly Tables'!H33</f>
        <v>1.14</v>
      </c>
      <c r="X6" s="261">
        <f t="shared" si="15"/>
        <v>4.7</v>
      </c>
      <c r="Y6" s="71">
        <f t="shared" si="16"/>
        <v>0.3055</v>
      </c>
      <c r="Z6" s="269">
        <f>'Quaterly Tables'!E22</f>
        <v>4.3</v>
      </c>
      <c r="AA6" s="261">
        <f t="shared" si="17"/>
        <v>3</v>
      </c>
      <c r="AB6" s="71">
        <f t="shared" si="18"/>
        <v>0.195</v>
      </c>
      <c r="AC6" s="270">
        <v>78.0</v>
      </c>
      <c r="AD6" s="261">
        <f t="shared" si="19"/>
        <v>2.4</v>
      </c>
      <c r="AE6" s="71">
        <f t="shared" si="20"/>
        <v>0.252</v>
      </c>
      <c r="AF6" s="271">
        <v>75.0</v>
      </c>
      <c r="AG6" s="261">
        <f t="shared" si="21"/>
        <v>2</v>
      </c>
      <c r="AH6" s="71">
        <f t="shared" si="22"/>
        <v>0.11</v>
      </c>
      <c r="AI6" s="401">
        <v>0.88</v>
      </c>
      <c r="AJ6" s="402">
        <f t="shared" si="23"/>
        <v>3.4105</v>
      </c>
      <c r="AK6" s="403" t="str">
        <f t="shared" si="24"/>
        <v>Eligible</v>
      </c>
      <c r="AL6" s="287">
        <f t="shared" si="25"/>
        <v>0.5</v>
      </c>
      <c r="AM6" s="404">
        <v>10000.0</v>
      </c>
      <c r="AN6" s="405">
        <f t="shared" si="26"/>
        <v>5000</v>
      </c>
      <c r="AO6" s="405">
        <f t="shared" si="27"/>
        <v>1250</v>
      </c>
    </row>
    <row r="7" ht="21.75" customHeight="1">
      <c r="A7" s="97" t="s">
        <v>121</v>
      </c>
      <c r="B7" s="260" t="str">
        <f>100%+'Quaterly Tables'!I7</f>
        <v>#DIV/0!</v>
      </c>
      <c r="C7" s="261" t="str">
        <f t="shared" si="1"/>
        <v/>
      </c>
      <c r="D7" s="71" t="str">
        <f t="shared" si="2"/>
        <v/>
      </c>
      <c r="E7" s="262" t="str">
        <f>100%+'Quaterly Tables'!F7</f>
        <v>#DIV/0!</v>
      </c>
      <c r="F7" s="261" t="str">
        <f t="shared" si="3"/>
        <v/>
      </c>
      <c r="G7" s="71" t="str">
        <f t="shared" si="4"/>
        <v/>
      </c>
      <c r="H7" s="263">
        <f>100%+'Quaterly Tables'!V7</f>
        <v>1</v>
      </c>
      <c r="I7" s="261">
        <f t="shared" si="5"/>
        <v>3.8</v>
      </c>
      <c r="J7" s="71">
        <f t="shared" si="6"/>
        <v>0.475</v>
      </c>
      <c r="K7" s="264">
        <f>'Quaterly Tables'!L7*100</f>
        <v>0</v>
      </c>
      <c r="L7" s="261">
        <f t="shared" si="7"/>
        <v>4</v>
      </c>
      <c r="M7" s="71">
        <f t="shared" si="8"/>
        <v>0.42</v>
      </c>
      <c r="N7" s="265">
        <f>'Quaterly Tables'!O7*100</f>
        <v>0</v>
      </c>
      <c r="O7" s="261">
        <f t="shared" si="9"/>
        <v>4</v>
      </c>
      <c r="P7" s="71">
        <f t="shared" si="10"/>
        <v>0.42</v>
      </c>
      <c r="Q7" s="266">
        <f>'Quaterly Tables'!E16</f>
        <v>4.47</v>
      </c>
      <c r="R7" s="261">
        <f t="shared" si="11"/>
        <v>3.9</v>
      </c>
      <c r="S7" s="71">
        <f t="shared" si="12"/>
        <v>0.819</v>
      </c>
      <c r="T7" s="267">
        <f>'Quaterly Tables'!I24</f>
        <v>0.045</v>
      </c>
      <c r="U7" s="261">
        <f t="shared" si="13"/>
        <v>1.8</v>
      </c>
      <c r="V7" s="71">
        <f t="shared" si="14"/>
        <v>0.153</v>
      </c>
      <c r="W7" s="268">
        <f>'Quaterly Tables'!H30</f>
        <v>2.03</v>
      </c>
      <c r="X7" s="261">
        <f t="shared" si="15"/>
        <v>3</v>
      </c>
      <c r="Y7" s="71">
        <f t="shared" si="16"/>
        <v>0.195</v>
      </c>
      <c r="Z7" s="269">
        <f>'Quaterly Tables'!E24</f>
        <v>4.3</v>
      </c>
      <c r="AA7" s="261">
        <f t="shared" si="17"/>
        <v>3</v>
      </c>
      <c r="AB7" s="71">
        <f t="shared" si="18"/>
        <v>0.195</v>
      </c>
      <c r="AC7" s="270">
        <v>77.0</v>
      </c>
      <c r="AD7" s="261">
        <f t="shared" si="19"/>
        <v>2.3</v>
      </c>
      <c r="AE7" s="71">
        <f t="shared" si="20"/>
        <v>0.2415</v>
      </c>
      <c r="AF7" s="271">
        <v>74.0</v>
      </c>
      <c r="AG7" s="261">
        <f t="shared" si="21"/>
        <v>1.8</v>
      </c>
      <c r="AH7" s="71">
        <f t="shared" si="22"/>
        <v>0.099</v>
      </c>
      <c r="AI7" s="401">
        <v>0.78</v>
      </c>
      <c r="AJ7" s="402">
        <f t="shared" si="23"/>
        <v>3.0175</v>
      </c>
      <c r="AK7" s="403" t="str">
        <f t="shared" si="24"/>
        <v>Not Eligible</v>
      </c>
      <c r="AL7" s="287">
        <f t="shared" si="25"/>
        <v>0</v>
      </c>
      <c r="AM7" s="404">
        <v>10000.0</v>
      </c>
      <c r="AN7" s="405">
        <f t="shared" si="26"/>
        <v>0</v>
      </c>
      <c r="AO7" s="405">
        <f t="shared" si="27"/>
        <v>0</v>
      </c>
    </row>
    <row r="8" ht="21.75" customHeight="1">
      <c r="A8" s="102" t="s">
        <v>122</v>
      </c>
      <c r="B8" s="276" t="str">
        <f>100%+'Quaterly Tables'!I8</f>
        <v>#DIV/0!</v>
      </c>
      <c r="C8" s="277" t="str">
        <f t="shared" si="1"/>
        <v/>
      </c>
      <c r="D8" s="105" t="str">
        <f t="shared" si="2"/>
        <v/>
      </c>
      <c r="E8" s="278" t="str">
        <f>100%+'Quaterly Tables'!F8</f>
        <v>#DIV/0!</v>
      </c>
      <c r="F8" s="277" t="str">
        <f t="shared" si="3"/>
        <v/>
      </c>
      <c r="G8" s="105" t="str">
        <f t="shared" si="4"/>
        <v/>
      </c>
      <c r="H8" s="279">
        <f>100%+'Quaterly Tables'!V8</f>
        <v>1</v>
      </c>
      <c r="I8" s="277">
        <f t="shared" si="5"/>
        <v>3.8</v>
      </c>
      <c r="J8" s="105">
        <f t="shared" si="6"/>
        <v>0.475</v>
      </c>
      <c r="K8" s="280">
        <f>'Quaterly Tables'!L8*100</f>
        <v>0</v>
      </c>
      <c r="L8" s="277">
        <f t="shared" si="7"/>
        <v>4</v>
      </c>
      <c r="M8" s="105">
        <f t="shared" si="8"/>
        <v>0.42</v>
      </c>
      <c r="N8" s="281">
        <f>'Quaterly Tables'!O8*100</f>
        <v>0</v>
      </c>
      <c r="O8" s="277">
        <f t="shared" si="9"/>
        <v>4</v>
      </c>
      <c r="P8" s="105">
        <f t="shared" si="10"/>
        <v>0.42</v>
      </c>
      <c r="Q8" s="282">
        <f>'Quaterly Tables'!E17</f>
        <v>4.294</v>
      </c>
      <c r="R8" s="277">
        <f t="shared" si="11"/>
        <v>3</v>
      </c>
      <c r="S8" s="105">
        <f t="shared" si="12"/>
        <v>0.63</v>
      </c>
      <c r="T8" s="283">
        <f>'Quaterly Tables'!I25</f>
        <v>0.03498</v>
      </c>
      <c r="U8" s="277">
        <f t="shared" si="13"/>
        <v>2.3</v>
      </c>
      <c r="V8" s="105">
        <f t="shared" si="14"/>
        <v>0.1955</v>
      </c>
      <c r="W8" s="284">
        <f>'Quaterly Tables'!H35</f>
        <v>1.19</v>
      </c>
      <c r="X8" s="277">
        <f t="shared" si="15"/>
        <v>4.6</v>
      </c>
      <c r="Y8" s="105">
        <f t="shared" si="16"/>
        <v>0.299</v>
      </c>
      <c r="Z8" s="285">
        <f>'Quaterly Tables'!E25</f>
        <v>4.3</v>
      </c>
      <c r="AA8" s="277">
        <f t="shared" si="17"/>
        <v>3</v>
      </c>
      <c r="AB8" s="105">
        <f t="shared" si="18"/>
        <v>0.195</v>
      </c>
      <c r="AC8" s="286">
        <f>AVERAGE(AC3:AC7)</f>
        <v>85.2</v>
      </c>
      <c r="AD8" s="277">
        <f t="shared" si="19"/>
        <v>3.4</v>
      </c>
      <c r="AE8" s="105">
        <f t="shared" si="20"/>
        <v>0.357</v>
      </c>
      <c r="AF8" s="286">
        <f>AVERAGE(AF3:AF7)</f>
        <v>83.6</v>
      </c>
      <c r="AG8" s="277">
        <f t="shared" si="21"/>
        <v>3.1</v>
      </c>
      <c r="AH8" s="105">
        <f t="shared" si="22"/>
        <v>0.1705</v>
      </c>
      <c r="AI8" s="406">
        <f>AVERAGE(AI3:AI7)</f>
        <v>0.87</v>
      </c>
      <c r="AJ8" s="402">
        <f t="shared" si="23"/>
        <v>3.162</v>
      </c>
      <c r="AK8" s="403"/>
      <c r="AL8" s="287"/>
      <c r="AM8" s="404">
        <f t="shared" ref="AM8:AN8" si="28">SUM(AM3:AM7)</f>
        <v>50000</v>
      </c>
      <c r="AN8" s="405">
        <f t="shared" si="28"/>
        <v>10000</v>
      </c>
      <c r="AO8" s="405">
        <f t="shared" si="27"/>
        <v>2500</v>
      </c>
    </row>
    <row r="9" ht="19.5" customHeight="1">
      <c r="A9" s="407" t="s">
        <v>123</v>
      </c>
      <c r="B9" s="408"/>
      <c r="C9" s="289">
        <f>'Scoring Matrix'!C72</f>
        <v>0.04</v>
      </c>
      <c r="D9" s="409"/>
      <c r="E9" s="408"/>
      <c r="F9" s="289">
        <f>'Scoring Matrix'!C74</f>
        <v>0.04</v>
      </c>
      <c r="G9" s="409"/>
      <c r="H9" s="408"/>
      <c r="I9" s="289">
        <f>'Scoring Matrix'!C76</f>
        <v>0.125</v>
      </c>
      <c r="J9" s="409"/>
      <c r="K9" s="408"/>
      <c r="L9" s="289">
        <f>'Scoring Matrix'!C78</f>
        <v>0.105</v>
      </c>
      <c r="M9" s="409"/>
      <c r="N9" s="408"/>
      <c r="O9" s="289">
        <f>'Scoring Matrix'!C80</f>
        <v>0.105</v>
      </c>
      <c r="P9" s="409"/>
      <c r="Q9" s="408"/>
      <c r="R9" s="289">
        <f>'Scoring Matrix'!C82</f>
        <v>0.21</v>
      </c>
      <c r="S9" s="409"/>
      <c r="T9" s="408"/>
      <c r="U9" s="289">
        <f>'Scoring Matrix'!C84</f>
        <v>0.085</v>
      </c>
      <c r="V9" s="409"/>
      <c r="W9" s="408"/>
      <c r="X9" s="289">
        <f>'Scoring Matrix'!C86</f>
        <v>0.065</v>
      </c>
      <c r="Y9" s="409"/>
      <c r="Z9" s="408"/>
      <c r="AA9" s="289">
        <f>'Scoring Matrix'!C88</f>
        <v>0.065</v>
      </c>
      <c r="AB9" s="409"/>
      <c r="AC9" s="408"/>
      <c r="AD9" s="289">
        <f>'Scoring Matrix'!C90</f>
        <v>0.105</v>
      </c>
      <c r="AE9" s="409"/>
      <c r="AF9" s="408"/>
      <c r="AG9" s="289">
        <f>'Scoring Matrix'!C92</f>
        <v>0.055</v>
      </c>
      <c r="AH9" s="409"/>
      <c r="AI9" s="408"/>
      <c r="AJ9" s="410"/>
      <c r="AK9" s="411"/>
      <c r="AL9" s="411"/>
      <c r="AM9" s="411"/>
      <c r="AN9" s="411"/>
      <c r="AO9" s="411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</cols>
  <sheetData>
    <row r="1">
      <c r="A1" s="412" t="s">
        <v>125</v>
      </c>
      <c r="B1" s="412" t="s">
        <v>126</v>
      </c>
      <c r="C1" s="412" t="s">
        <v>127</v>
      </c>
      <c r="D1" s="413" t="s">
        <v>10</v>
      </c>
      <c r="E1" s="412" t="s">
        <v>17</v>
      </c>
      <c r="F1" s="412" t="s">
        <v>134</v>
      </c>
      <c r="G1" s="412" t="s">
        <v>33</v>
      </c>
      <c r="H1" s="412" t="s">
        <v>40</v>
      </c>
      <c r="I1" s="412" t="s">
        <v>141</v>
      </c>
      <c r="J1" s="412" t="s">
        <v>112</v>
      </c>
      <c r="K1" s="412" t="s">
        <v>65</v>
      </c>
      <c r="L1" s="412" t="s">
        <v>128</v>
      </c>
      <c r="M1" s="412" t="s">
        <v>58</v>
      </c>
      <c r="N1" s="412" t="s">
        <v>66</v>
      </c>
      <c r="O1" s="412" t="s">
        <v>73</v>
      </c>
      <c r="P1" s="412" t="s">
        <v>75</v>
      </c>
      <c r="Q1" s="365" t="s">
        <v>135</v>
      </c>
      <c r="R1" s="365" t="s">
        <v>136</v>
      </c>
      <c r="S1" s="365" t="s">
        <v>139</v>
      </c>
    </row>
    <row r="2">
      <c r="A2" s="414" t="s">
        <v>117</v>
      </c>
      <c r="B2" s="415">
        <f>'Quaterly Store Scorecards '!AJ3</f>
        <v>2.389</v>
      </c>
      <c r="C2" s="416" t="str">
        <f t="shared" ref="C2:C7" si="1">IFS(B2&lt;1.7,"Non", B2&lt;2.7,"Low", B2&lt;3.7,"Contributor", B2&lt;4.7,"High", TRUE,"STAR")</f>
        <v>Low</v>
      </c>
      <c r="D2" s="417" t="str">
        <f>'Quaterly Store Scorecards '!B3</f>
        <v>#REF!</v>
      </c>
      <c r="E2" s="417" t="str">
        <f>'Quaterly Store Scorecards '!E3</f>
        <v>#REF!</v>
      </c>
      <c r="F2" s="418" t="str">
        <f>'Quaterly Store Scorecards '!H3</f>
        <v>#REF!</v>
      </c>
      <c r="G2" s="419" t="str">
        <f>'Quaterly Store Scorecards '!K3</f>
        <v>#REF!</v>
      </c>
      <c r="H2" s="419" t="str">
        <f>'Quaterly Store Scorecards '!N3</f>
        <v>#REF!</v>
      </c>
      <c r="I2" s="419" t="str">
        <f>AVERAGE('Quaterly Store Scorecards '!K3,'Quaterly Store Scorecards '!N3)</f>
        <v>#REF!</v>
      </c>
      <c r="J2" s="416">
        <f>'Quaterly Store Scorecards '!Q3</f>
        <v>5</v>
      </c>
      <c r="K2" s="420">
        <f>'Quaterly Store Scorecards '!Z3</f>
        <v>4</v>
      </c>
      <c r="L2" s="417">
        <f>'Quaterly Store Scorecards '!T3</f>
        <v>0.0405</v>
      </c>
      <c r="M2" s="421">
        <f>'Quaterly Store Scorecards '!W3</f>
        <v>0.57</v>
      </c>
      <c r="N2" s="422">
        <f>'Quaterly Store Scorecards '!AC3</f>
        <v>92</v>
      </c>
      <c r="O2" s="422">
        <f>'Quaterly Store Scorecards '!AF3</f>
        <v>90</v>
      </c>
      <c r="P2" s="423">
        <f>'Quaterly Store Scorecards '!AI3</f>
        <v>0.89</v>
      </c>
      <c r="Q2" s="424" t="str">
        <f>'Quaterly Store Scorecards '!AK3</f>
        <v>Not Eligible</v>
      </c>
      <c r="R2" s="425">
        <f>'Quaterly Store Scorecards '!AL3</f>
        <v>0</v>
      </c>
      <c r="S2" s="426">
        <f>'Quaterly Store Scorecards '!AO3</f>
        <v>0</v>
      </c>
    </row>
    <row r="3">
      <c r="A3" s="414" t="s">
        <v>118</v>
      </c>
      <c r="B3" s="427">
        <f>'Quaterly Store Scorecards '!AJ4</f>
        <v>2.598</v>
      </c>
      <c r="C3" s="416" t="str">
        <f t="shared" si="1"/>
        <v>Low</v>
      </c>
      <c r="D3" s="417" t="str">
        <f>'Quaterly Store Scorecards '!B4</f>
        <v>#DIV/0!</v>
      </c>
      <c r="E3" s="417" t="str">
        <f>'Quaterly Store Scorecards '!E4</f>
        <v>#DIV/0!</v>
      </c>
      <c r="F3" s="418">
        <f>'Quaterly Store Scorecards '!H4</f>
        <v>1</v>
      </c>
      <c r="G3" s="419">
        <f>'Quaterly Store Scorecards '!K4</f>
        <v>0</v>
      </c>
      <c r="H3" s="419">
        <f>'Quaterly Store Scorecards '!N4</f>
        <v>0</v>
      </c>
      <c r="I3" s="419">
        <f>AVERAGE('Quaterly Store Scorecards '!K4,'Quaterly Store Scorecards '!N4)</f>
        <v>0</v>
      </c>
      <c r="J3" s="416">
        <f>'Quaterly Store Scorecards '!Q4</f>
        <v>3</v>
      </c>
      <c r="K3" s="420">
        <f>'Quaterly Store Scorecards '!Z4</f>
        <v>4.4</v>
      </c>
      <c r="L3" s="417">
        <f>'Quaterly Store Scorecards '!T4</f>
        <v>0.0315</v>
      </c>
      <c r="M3" s="421">
        <f>'Quaterly Store Scorecards '!W4</f>
        <v>1.48</v>
      </c>
      <c r="N3" s="422">
        <f>'Quaterly Store Scorecards '!AC4</f>
        <v>88</v>
      </c>
      <c r="O3" s="422">
        <f>'Quaterly Store Scorecards '!AF4</f>
        <v>86</v>
      </c>
      <c r="P3" s="423">
        <f>'Quaterly Store Scorecards '!AI4</f>
        <v>0.87</v>
      </c>
      <c r="Q3" s="424" t="str">
        <f>'Quaterly Store Scorecards '!AK4</f>
        <v>Not Eligible</v>
      </c>
      <c r="R3" s="425">
        <f>'Quaterly Store Scorecards '!AL4</f>
        <v>0</v>
      </c>
      <c r="S3" s="426">
        <f>'Quaterly Store Scorecards '!AO4</f>
        <v>0</v>
      </c>
    </row>
    <row r="4">
      <c r="A4" s="414" t="s">
        <v>119</v>
      </c>
      <c r="B4" s="428">
        <f>'Quaterly Store Scorecards '!AJ5</f>
        <v>3.5275</v>
      </c>
      <c r="C4" s="416" t="str">
        <f t="shared" si="1"/>
        <v>Contributor</v>
      </c>
      <c r="D4" s="417" t="str">
        <f>'Quaterly Store Scorecards '!B5</f>
        <v>#DIV/0!</v>
      </c>
      <c r="E4" s="417" t="str">
        <f>'Quaterly Store Scorecards '!E5</f>
        <v>#DIV/0!</v>
      </c>
      <c r="F4" s="418">
        <f>'Quaterly Store Scorecards '!H5</f>
        <v>1</v>
      </c>
      <c r="G4" s="419">
        <f>'Quaterly Store Scorecards '!K5</f>
        <v>0</v>
      </c>
      <c r="H4" s="419">
        <f>'Quaterly Store Scorecards '!N5</f>
        <v>0</v>
      </c>
      <c r="I4" s="419">
        <f>AVERAGE('Quaterly Store Scorecards '!K5,'Quaterly Store Scorecards '!N5)</f>
        <v>0</v>
      </c>
      <c r="J4" s="416">
        <f>'Quaterly Store Scorecards '!Q5</f>
        <v>4.33</v>
      </c>
      <c r="K4" s="420">
        <f>'Quaterly Store Scorecards '!Z5</f>
        <v>4.5</v>
      </c>
      <c r="L4" s="417">
        <f>'Quaterly Store Scorecards '!T5</f>
        <v>0.0264</v>
      </c>
      <c r="M4" s="421">
        <f>'Quaterly Store Scorecards '!W5</f>
        <v>0.59</v>
      </c>
      <c r="N4" s="422">
        <f>'Quaterly Store Scorecards '!AC5</f>
        <v>91</v>
      </c>
      <c r="O4" s="422">
        <f>'Quaterly Store Scorecards '!AF5</f>
        <v>93</v>
      </c>
      <c r="P4" s="423">
        <f>'Quaterly Store Scorecards '!AI5</f>
        <v>0.93</v>
      </c>
      <c r="Q4" s="424" t="str">
        <f>'Quaterly Store Scorecards '!AK5</f>
        <v>Eligible</v>
      </c>
      <c r="R4" s="425">
        <f>'Quaterly Store Scorecards '!AL5</f>
        <v>0.5</v>
      </c>
      <c r="S4" s="426">
        <f>'Quaterly Store Scorecards '!AO5</f>
        <v>1250</v>
      </c>
    </row>
    <row r="5">
      <c r="A5" s="414" t="s">
        <v>120</v>
      </c>
      <c r="B5" s="429">
        <f>'Quaterly Store Scorecards '!AJ6</f>
        <v>3.4105</v>
      </c>
      <c r="C5" s="416" t="str">
        <f t="shared" si="1"/>
        <v>Contributor</v>
      </c>
      <c r="D5" s="417" t="str">
        <f>'Quaterly Store Scorecards '!B6</f>
        <v>#DIV/0!</v>
      </c>
      <c r="E5" s="417" t="str">
        <f>'Quaterly Store Scorecards '!E6</f>
        <v>#DIV/0!</v>
      </c>
      <c r="F5" s="418">
        <f>'Quaterly Store Scorecards '!H6</f>
        <v>1</v>
      </c>
      <c r="G5" s="419">
        <f>'Quaterly Store Scorecards '!K6</f>
        <v>0</v>
      </c>
      <c r="H5" s="419">
        <f>'Quaterly Store Scorecards '!N6</f>
        <v>0</v>
      </c>
      <c r="I5" s="419">
        <f>AVERAGE('Quaterly Store Scorecards '!K6,'Quaterly Store Scorecards '!N6)</f>
        <v>0</v>
      </c>
      <c r="J5" s="416">
        <f>'Quaterly Store Scorecards '!Q6</f>
        <v>4.67</v>
      </c>
      <c r="K5" s="420">
        <f>'Quaterly Store Scorecards '!Z6</f>
        <v>4.3</v>
      </c>
      <c r="L5" s="417">
        <f>'Quaterly Store Scorecards '!T6</f>
        <v>0.0315</v>
      </c>
      <c r="M5" s="421">
        <f>'Quaterly Store Scorecards '!W6</f>
        <v>1.14</v>
      </c>
      <c r="N5" s="422">
        <f>'Quaterly Store Scorecards '!AC6</f>
        <v>78</v>
      </c>
      <c r="O5" s="422">
        <f>'Quaterly Store Scorecards '!AF6</f>
        <v>75</v>
      </c>
      <c r="P5" s="423">
        <f>'Quaterly Store Scorecards '!AI6</f>
        <v>0.88</v>
      </c>
      <c r="Q5" s="424" t="str">
        <f>'Quaterly Store Scorecards '!AK6</f>
        <v>Eligible</v>
      </c>
      <c r="R5" s="425">
        <f>'Quaterly Store Scorecards '!AL6</f>
        <v>0.5</v>
      </c>
      <c r="S5" s="426">
        <f>'Quaterly Store Scorecards '!AO6</f>
        <v>1250</v>
      </c>
    </row>
    <row r="6">
      <c r="A6" s="414" t="s">
        <v>121</v>
      </c>
      <c r="B6" s="430">
        <f>'Quaterly Store Scorecards '!AJ7</f>
        <v>3.0175</v>
      </c>
      <c r="C6" s="416" t="str">
        <f t="shared" si="1"/>
        <v>Contributor</v>
      </c>
      <c r="D6" s="417" t="str">
        <f>'Quaterly Store Scorecards '!B7</f>
        <v>#DIV/0!</v>
      </c>
      <c r="E6" s="417" t="str">
        <f>'Quaterly Store Scorecards '!E7</f>
        <v>#DIV/0!</v>
      </c>
      <c r="F6" s="418">
        <f>'Quaterly Store Scorecards '!H7</f>
        <v>1</v>
      </c>
      <c r="G6" s="419">
        <f>'Quaterly Store Scorecards '!K7</f>
        <v>0</v>
      </c>
      <c r="H6" s="419">
        <f>'Quaterly Store Scorecards '!N7</f>
        <v>0</v>
      </c>
      <c r="I6" s="419">
        <f>AVERAGE('Quaterly Store Scorecards '!K7,'Quaterly Store Scorecards '!N7)</f>
        <v>0</v>
      </c>
      <c r="J6" s="416">
        <f>'Quaterly Store Scorecards '!Q7</f>
        <v>4.47</v>
      </c>
      <c r="K6" s="420">
        <f>'Quaterly Store Scorecards '!Z7</f>
        <v>4.3</v>
      </c>
      <c r="L6" s="417">
        <f>'Quaterly Store Scorecards '!T7</f>
        <v>0.045</v>
      </c>
      <c r="M6" s="421">
        <f>'Quaterly Store Scorecards '!W7</f>
        <v>2.03</v>
      </c>
      <c r="N6" s="422">
        <f>'Quaterly Store Scorecards '!AC7</f>
        <v>77</v>
      </c>
      <c r="O6" s="422">
        <f>'Quaterly Store Scorecards '!AF7</f>
        <v>74</v>
      </c>
      <c r="P6" s="423">
        <f>'Quaterly Store Scorecards '!AI7</f>
        <v>0.78</v>
      </c>
      <c r="Q6" s="424" t="str">
        <f>'Quaterly Store Scorecards '!AK7</f>
        <v>Not Eligible</v>
      </c>
      <c r="R6" s="425">
        <f>'Quaterly Store Scorecards '!AL7</f>
        <v>0</v>
      </c>
      <c r="S6" s="426">
        <f>'Quaterly Store Scorecards '!AO7</f>
        <v>0</v>
      </c>
    </row>
    <row r="7">
      <c r="A7" s="431" t="s">
        <v>122</v>
      </c>
      <c r="B7" s="432">
        <f>'Quaterly Store Scorecards '!AJ8</f>
        <v>3.162</v>
      </c>
      <c r="C7" s="433" t="str">
        <f t="shared" si="1"/>
        <v>Contributor</v>
      </c>
      <c r="D7" s="434" t="str">
        <f>'Quaterly Store Scorecards '!B8</f>
        <v>#DIV/0!</v>
      </c>
      <c r="E7" s="434" t="str">
        <f>'Quaterly Store Scorecards '!E8</f>
        <v>#DIV/0!</v>
      </c>
      <c r="F7" s="435">
        <f>'Quaterly Store Scorecards '!H8</f>
        <v>1</v>
      </c>
      <c r="G7" s="436">
        <f>'Quaterly Store Scorecards '!K8</f>
        <v>0</v>
      </c>
      <c r="H7" s="436">
        <f>'Quaterly Store Scorecards '!N8</f>
        <v>0</v>
      </c>
      <c r="I7" s="436">
        <f>AVERAGE('Quaterly Store Scorecards '!K8,'Quaterly Store Scorecards '!N8)</f>
        <v>0</v>
      </c>
      <c r="J7" s="433">
        <f>'Quaterly Store Scorecards '!Q8</f>
        <v>4.294</v>
      </c>
      <c r="K7" s="437">
        <f>'Quaterly Store Scorecards '!Z8</f>
        <v>4.3</v>
      </c>
      <c r="L7" s="434">
        <f>'Quaterly Store Scorecards '!T8</f>
        <v>0.03498</v>
      </c>
      <c r="M7" s="438">
        <f>'Quaterly Store Scorecards '!W8</f>
        <v>1.19</v>
      </c>
      <c r="N7" s="439">
        <f>'Quaterly Store Scorecards '!AC8</f>
        <v>85.2</v>
      </c>
      <c r="O7" s="439">
        <f>'Quaterly Store Scorecards '!AF8</f>
        <v>83.6</v>
      </c>
      <c r="P7" s="440">
        <f>'Quaterly Store Scorecards '!AI8</f>
        <v>0.87</v>
      </c>
      <c r="Q7" s="441" t="str">
        <f>'Quaterly Store Scorecards '!AK8</f>
        <v/>
      </c>
      <c r="R7" s="442" t="str">
        <f>'Quaterly Store Scorecards '!AL8</f>
        <v/>
      </c>
      <c r="S7" s="443">
        <f>'Quaterly Store Scorecards '!AO8</f>
        <v>2500</v>
      </c>
    </row>
    <row r="8">
      <c r="A8" s="3"/>
      <c r="B8" s="167"/>
      <c r="C8" s="167"/>
      <c r="D8" s="167"/>
      <c r="E8" s="167"/>
      <c r="F8" s="167"/>
      <c r="G8" s="167"/>
      <c r="H8" s="167"/>
      <c r="I8" s="167"/>
      <c r="J8" s="167"/>
      <c r="K8" s="167"/>
    </row>
    <row r="9">
      <c r="A9" s="166"/>
      <c r="B9" s="168"/>
      <c r="C9" s="167"/>
      <c r="D9" s="167"/>
      <c r="E9" s="167"/>
      <c r="F9" s="167"/>
      <c r="G9" s="167"/>
      <c r="H9" s="167"/>
      <c r="I9" s="167"/>
      <c r="J9" s="167"/>
      <c r="K9" s="167"/>
    </row>
    <row r="10">
      <c r="A10" s="166"/>
      <c r="B10" s="444"/>
      <c r="C10" s="167"/>
      <c r="D10" s="167"/>
      <c r="E10" s="167"/>
      <c r="F10" s="167"/>
      <c r="G10" s="167"/>
      <c r="H10" s="167"/>
      <c r="I10" s="167"/>
      <c r="J10" s="167"/>
      <c r="K10" s="16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46"/>
    </row>
    <row r="2">
      <c r="B2" s="445" t="str">
        <f>IFERROR(__xludf.DUMMYFUNCTION("IMPORTRANGE(""https://docs.google.com/spreadsheets/d/1rvSw8TokJxxMPNo9zCeN0TVGCwqWJYqsUgV1Y381wpc/edit?gid=1529235844#gid=1529235844"",""Weekly Flash Report!A31:Q37"")"),"Location")</f>
        <v>Location</v>
      </c>
      <c r="C2" s="446" t="str">
        <f>IFERROR(__xludf.DUMMYFUNCTION("""COMPUTED_VALUE"""),"Sales")</f>
        <v>Sales</v>
      </c>
      <c r="D2" s="446" t="str">
        <f>IFERROR(__xludf.DUMMYFUNCTION("""COMPUTED_VALUE"""),"Same Week LY")</f>
        <v>Same Week LY</v>
      </c>
      <c r="E2" s="446" t="str">
        <f>IFERROR(__xludf.DUMMYFUNCTION("""COMPUTED_VALUE"""),"Dollar Change")</f>
        <v>Dollar Change</v>
      </c>
      <c r="F2" s="447" t="str">
        <f>IFERROR(__xludf.DUMMYFUNCTION("""COMPUTED_VALUE"""),"Percent Change")</f>
        <v>Percent Change</v>
      </c>
      <c r="G2" s="446" t="str">
        <f>IFERROR(__xludf.DUMMYFUNCTION("""COMPUTED_VALUE"""),"Weekly Budget")</f>
        <v>Weekly Budget</v>
      </c>
      <c r="H2" s="446" t="str">
        <f>IFERROR(__xludf.DUMMYFUNCTION("""COMPUTED_VALUE"""),"Var to Bud +/-")</f>
        <v>Var to Bud +/-</v>
      </c>
      <c r="I2" s="446" t="str">
        <f>IFERROR(__xludf.DUMMYFUNCTION("""COMPUTED_VALUE"""),"Var to Bud")</f>
        <v>Var to Bud</v>
      </c>
      <c r="J2" s="446" t="str">
        <f>IFERROR(__xludf.DUMMYFUNCTION("""COMPUTED_VALUE"""),"Total Labor ")</f>
        <v>Total Labor </v>
      </c>
      <c r="K2" s="446" t="str">
        <f>IFERROR(__xludf.DUMMYFUNCTION("""COMPUTED_VALUE"""),"Bud Labor")</f>
        <v>Bud Labor</v>
      </c>
      <c r="L2" s="446" t="str">
        <f>IFERROR(__xludf.DUMMYFUNCTION("""COMPUTED_VALUE"""),"Var Lbr to Bud")</f>
        <v>Var Lbr to Bud</v>
      </c>
      <c r="M2" s="446" t="str">
        <f>IFERROR(__xludf.DUMMYFUNCTION("""COMPUTED_VALUE"""),"Total COGS")</f>
        <v>Total COGS</v>
      </c>
      <c r="N2" s="446" t="str">
        <f>IFERROR(__xludf.DUMMYFUNCTION("""COMPUTED_VALUE"""),"Bud COGS")</f>
        <v>Bud COGS</v>
      </c>
      <c r="O2" s="446" t="str">
        <f>IFERROR(__xludf.DUMMYFUNCTION("""COMPUTED_VALUE"""),"Var COGS to Bud")</f>
        <v>Var COGS to Bud</v>
      </c>
      <c r="P2" s="446" t="str">
        <f>IFERROR(__xludf.DUMMYFUNCTION("""COMPUTED_VALUE"""),"Total PC ")</f>
        <v>Total PC </v>
      </c>
      <c r="Q2" s="446" t="str">
        <f>IFERROR(__xludf.DUMMYFUNCTION("""COMPUTED_VALUE"""),"Bud PC ")</f>
        <v>Bud PC </v>
      </c>
      <c r="R2" s="446" t="str">
        <f>IFERROR(__xludf.DUMMYFUNCTION("""COMPUTED_VALUE"""),"Var PC to Bud")</f>
        <v>Var PC to Bud</v>
      </c>
      <c r="S2" s="448"/>
      <c r="T2" s="448"/>
      <c r="U2" s="448"/>
      <c r="V2" s="448"/>
      <c r="W2" s="449"/>
      <c r="X2" s="449"/>
    </row>
    <row r="3">
      <c r="B3" s="450" t="str">
        <f>IFERROR(__xludf.DUMMYFUNCTION("""COMPUTED_VALUE"""),"Ballpark")</f>
        <v>Ballpark</v>
      </c>
      <c r="C3" s="451">
        <f>IFERROR(__xludf.DUMMYFUNCTION("""COMPUTED_VALUE"""),21173.0)</f>
        <v>21173</v>
      </c>
      <c r="D3" s="451">
        <f>IFERROR(__xludf.DUMMYFUNCTION("""COMPUTED_VALUE"""),20096.0)</f>
        <v>20096</v>
      </c>
      <c r="E3" s="452">
        <f>IFERROR(__xludf.DUMMYFUNCTION("""COMPUTED_VALUE"""),1077.0)</f>
        <v>1077</v>
      </c>
      <c r="F3" s="453">
        <f>IFERROR(__xludf.DUMMYFUNCTION("""COMPUTED_VALUE"""),0.05359275477707006)</f>
        <v>0.05359275478</v>
      </c>
      <c r="G3" s="451">
        <f>IFERROR(__xludf.DUMMYFUNCTION("""COMPUTED_VALUE"""),23288.46)</f>
        <v>23288.46</v>
      </c>
      <c r="H3" s="452">
        <f>IFERROR(__xludf.DUMMYFUNCTION("""COMPUTED_VALUE"""),-2115.459999999999)</f>
        <v>-2115.46</v>
      </c>
      <c r="I3" s="453">
        <f>IFERROR(__xludf.DUMMYFUNCTION("""COMPUTED_VALUE"""),-0.09083726446488945)</f>
        <v>-0.09083726446</v>
      </c>
      <c r="J3" s="454">
        <f>IFERROR(__xludf.DUMMYFUNCTION("""COMPUTED_VALUE"""),0.297)</f>
        <v>0.297</v>
      </c>
      <c r="K3" s="454">
        <f>IFERROR(__xludf.DUMMYFUNCTION("""COMPUTED_VALUE"""),0.302)</f>
        <v>0.302</v>
      </c>
      <c r="L3" s="455">
        <f>IFERROR(__xludf.DUMMYFUNCTION("""COMPUTED_VALUE"""),-0.0050000000000000044)</f>
        <v>-0.005</v>
      </c>
      <c r="M3" s="456">
        <f>IFERROR(__xludf.DUMMYFUNCTION("""COMPUTED_VALUE"""),0.287)</f>
        <v>0.287</v>
      </c>
      <c r="N3" s="454">
        <f>IFERROR(__xludf.DUMMYFUNCTION("""COMPUTED_VALUE"""),0.264)</f>
        <v>0.264</v>
      </c>
      <c r="O3" s="453">
        <f>IFERROR(__xludf.DUMMYFUNCTION("""COMPUTED_VALUE"""),0.022999999999999965)</f>
        <v>0.023</v>
      </c>
      <c r="P3" s="454">
        <f>IFERROR(__xludf.DUMMYFUNCTION("""COMPUTED_VALUE"""),0.584)</f>
        <v>0.584</v>
      </c>
      <c r="Q3" s="454">
        <f>IFERROR(__xludf.DUMMYFUNCTION("""COMPUTED_VALUE"""),0.5660000000000001)</f>
        <v>0.566</v>
      </c>
      <c r="R3" s="453">
        <f>IFERROR(__xludf.DUMMYFUNCTION("""COMPUTED_VALUE"""),0.017999999999999905)</f>
        <v>0.018</v>
      </c>
      <c r="S3" s="457"/>
      <c r="T3" s="457"/>
      <c r="U3" s="457"/>
      <c r="V3" s="457"/>
      <c r="W3" s="458"/>
      <c r="X3" s="458"/>
    </row>
    <row r="4">
      <c r="B4" s="450" t="str">
        <f>IFERROR(__xludf.DUMMYFUNCTION("""COMPUTED_VALUE"""),"Mosaic")</f>
        <v>Mosaic</v>
      </c>
      <c r="C4" s="451">
        <f>IFERROR(__xludf.DUMMYFUNCTION("""COMPUTED_VALUE"""),28281.0)</f>
        <v>28281</v>
      </c>
      <c r="D4" s="451">
        <f>IFERROR(__xludf.DUMMYFUNCTION("""COMPUTED_VALUE"""),28529.0)</f>
        <v>28529</v>
      </c>
      <c r="E4" s="452">
        <f>IFERROR(__xludf.DUMMYFUNCTION("""COMPUTED_VALUE"""),-248.0)</f>
        <v>-248</v>
      </c>
      <c r="F4" s="453">
        <f>IFERROR(__xludf.DUMMYFUNCTION("""COMPUTED_VALUE"""),-0.008692908969820183)</f>
        <v>-0.00869290897</v>
      </c>
      <c r="G4" s="451">
        <f>IFERROR(__xludf.DUMMYFUNCTION("""COMPUTED_VALUE"""),35253.97)</f>
        <v>35253.97</v>
      </c>
      <c r="H4" s="452">
        <f>IFERROR(__xludf.DUMMYFUNCTION("""COMPUTED_VALUE"""),-6972.970000000001)</f>
        <v>-6972.97</v>
      </c>
      <c r="I4" s="453">
        <f>IFERROR(__xludf.DUMMYFUNCTION("""COMPUTED_VALUE"""),-0.19779247557083646)</f>
        <v>-0.1977924756</v>
      </c>
      <c r="J4" s="454">
        <f>IFERROR(__xludf.DUMMYFUNCTION("""COMPUTED_VALUE"""),0.279)</f>
        <v>0.279</v>
      </c>
      <c r="K4" s="454">
        <f>IFERROR(__xludf.DUMMYFUNCTION("""COMPUTED_VALUE"""),0.229)</f>
        <v>0.229</v>
      </c>
      <c r="L4" s="455">
        <f>IFERROR(__xludf.DUMMYFUNCTION("""COMPUTED_VALUE"""),0.05000000000000002)</f>
        <v>0.05</v>
      </c>
      <c r="M4" s="456">
        <f>IFERROR(__xludf.DUMMYFUNCTION("""COMPUTED_VALUE"""),0.304)</f>
        <v>0.304</v>
      </c>
      <c r="N4" s="454">
        <f>IFERROR(__xludf.DUMMYFUNCTION("""COMPUTED_VALUE"""),0.267)</f>
        <v>0.267</v>
      </c>
      <c r="O4" s="453">
        <f>IFERROR(__xludf.DUMMYFUNCTION("""COMPUTED_VALUE"""),0.03699999999999998)</f>
        <v>0.037</v>
      </c>
      <c r="P4" s="454">
        <f>IFERROR(__xludf.DUMMYFUNCTION("""COMPUTED_VALUE"""),0.583)</f>
        <v>0.583</v>
      </c>
      <c r="Q4" s="454">
        <f>IFERROR(__xludf.DUMMYFUNCTION("""COMPUTED_VALUE"""),0.496)</f>
        <v>0.496</v>
      </c>
      <c r="R4" s="453">
        <f>IFERROR(__xludf.DUMMYFUNCTION("""COMPUTED_VALUE"""),0.08699999999999997)</f>
        <v>0.087</v>
      </c>
      <c r="S4" s="457"/>
      <c r="T4" s="457"/>
      <c r="U4" s="457"/>
      <c r="V4" s="457"/>
      <c r="W4" s="458"/>
      <c r="X4" s="458"/>
    </row>
    <row r="5">
      <c r="B5" s="450" t="str">
        <f>IFERROR(__xludf.DUMMYFUNCTION("""COMPUTED_VALUE"""),"MVT")</f>
        <v>MVT</v>
      </c>
      <c r="C5" s="451">
        <f>IFERROR(__xludf.DUMMYFUNCTION("""COMPUTED_VALUE"""),34456.0)</f>
        <v>34456</v>
      </c>
      <c r="D5" s="451">
        <f>IFERROR(__xludf.DUMMYFUNCTION("""COMPUTED_VALUE"""),40128.0)</f>
        <v>40128</v>
      </c>
      <c r="E5" s="452">
        <f>IFERROR(__xludf.DUMMYFUNCTION("""COMPUTED_VALUE"""),-5672.0)</f>
        <v>-5672</v>
      </c>
      <c r="F5" s="453">
        <f>IFERROR(__xludf.DUMMYFUNCTION("""COMPUTED_VALUE"""),-0.14134768740031897)</f>
        <v>-0.1413476874</v>
      </c>
      <c r="G5" s="451">
        <f>IFERROR(__xludf.DUMMYFUNCTION("""COMPUTED_VALUE"""),48123.89)</f>
        <v>48123.89</v>
      </c>
      <c r="H5" s="452">
        <f>IFERROR(__xludf.DUMMYFUNCTION("""COMPUTED_VALUE"""),-13667.89)</f>
        <v>-13667.89</v>
      </c>
      <c r="I5" s="453">
        <f>IFERROR(__xludf.DUMMYFUNCTION("""COMPUTED_VALUE"""),-0.2840146546756715)</f>
        <v>-0.2840146547</v>
      </c>
      <c r="J5" s="454">
        <f>IFERROR(__xludf.DUMMYFUNCTION("""COMPUTED_VALUE"""),0.24)</f>
        <v>0.24</v>
      </c>
      <c r="K5" s="454">
        <f>IFERROR(__xludf.DUMMYFUNCTION("""COMPUTED_VALUE"""),0.242)</f>
        <v>0.242</v>
      </c>
      <c r="L5" s="455">
        <f>IFERROR(__xludf.DUMMYFUNCTION("""COMPUTED_VALUE"""),-0.0020000000000000018)</f>
        <v>-0.002</v>
      </c>
      <c r="M5" s="456">
        <f>IFERROR(__xludf.DUMMYFUNCTION("""COMPUTED_VALUE"""),0.286)</f>
        <v>0.286</v>
      </c>
      <c r="N5" s="454">
        <f>IFERROR(__xludf.DUMMYFUNCTION("""COMPUTED_VALUE"""),0.254)</f>
        <v>0.254</v>
      </c>
      <c r="O5" s="453">
        <f>IFERROR(__xludf.DUMMYFUNCTION("""COMPUTED_VALUE"""),0.03199999999999997)</f>
        <v>0.032</v>
      </c>
      <c r="P5" s="454">
        <f>IFERROR(__xludf.DUMMYFUNCTION("""COMPUTED_VALUE"""),0.526)</f>
        <v>0.526</v>
      </c>
      <c r="Q5" s="454">
        <f>IFERROR(__xludf.DUMMYFUNCTION("""COMPUTED_VALUE"""),0.496)</f>
        <v>0.496</v>
      </c>
      <c r="R5" s="453">
        <f>IFERROR(__xludf.DUMMYFUNCTION("""COMPUTED_VALUE"""),0.030000000000000027)</f>
        <v>0.03</v>
      </c>
      <c r="S5" s="457"/>
      <c r="T5" s="457"/>
      <c r="U5" s="457"/>
      <c r="V5" s="457"/>
      <c r="W5" s="458"/>
      <c r="X5" s="458"/>
    </row>
    <row r="6">
      <c r="B6" s="450" t="str">
        <f>IFERROR(__xludf.DUMMYFUNCTION("""COMPUTED_VALUE"""),"National Landing")</f>
        <v>National Landing</v>
      </c>
      <c r="C6" s="451">
        <f>IFERROR(__xludf.DUMMYFUNCTION("""COMPUTED_VALUE"""),26497.0)</f>
        <v>26497</v>
      </c>
      <c r="D6" s="451">
        <f>IFERROR(__xludf.DUMMYFUNCTION("""COMPUTED_VALUE"""),24342.0)</f>
        <v>24342</v>
      </c>
      <c r="E6" s="452">
        <f>IFERROR(__xludf.DUMMYFUNCTION("""COMPUTED_VALUE"""),2155.0)</f>
        <v>2155</v>
      </c>
      <c r="F6" s="453">
        <f>IFERROR(__xludf.DUMMYFUNCTION("""COMPUTED_VALUE"""),0.08853011256264892)</f>
        <v>0.08853011256</v>
      </c>
      <c r="G6" s="451">
        <f>IFERROR(__xludf.DUMMYFUNCTION("""COMPUTED_VALUE"""),23491.97)</f>
        <v>23491.97</v>
      </c>
      <c r="H6" s="452">
        <f>IFERROR(__xludf.DUMMYFUNCTION("""COMPUTED_VALUE"""),3005.029999999999)</f>
        <v>3005.03</v>
      </c>
      <c r="I6" s="453">
        <f>IFERROR(__xludf.DUMMYFUNCTION("""COMPUTED_VALUE"""),0.1279173266439553)</f>
        <v>0.1279173266</v>
      </c>
      <c r="J6" s="454">
        <f>IFERROR(__xludf.DUMMYFUNCTION("""COMPUTED_VALUE"""),0.262)</f>
        <v>0.262</v>
      </c>
      <c r="K6" s="454">
        <f>IFERROR(__xludf.DUMMYFUNCTION("""COMPUTED_VALUE"""),0.302)</f>
        <v>0.302</v>
      </c>
      <c r="L6" s="455">
        <f>IFERROR(__xludf.DUMMYFUNCTION("""COMPUTED_VALUE"""),-0.03999999999999998)</f>
        <v>-0.04</v>
      </c>
      <c r="M6" s="456">
        <f>IFERROR(__xludf.DUMMYFUNCTION("""COMPUTED_VALUE"""),0.286)</f>
        <v>0.286</v>
      </c>
      <c r="N6" s="454">
        <f>IFERROR(__xludf.DUMMYFUNCTION("""COMPUTED_VALUE"""),0.264)</f>
        <v>0.264</v>
      </c>
      <c r="O6" s="453">
        <f>IFERROR(__xludf.DUMMYFUNCTION("""COMPUTED_VALUE"""),0.021999999999999964)</f>
        <v>0.022</v>
      </c>
      <c r="P6" s="454">
        <f>IFERROR(__xludf.DUMMYFUNCTION("""COMPUTED_VALUE"""),0.548)</f>
        <v>0.548</v>
      </c>
      <c r="Q6" s="454">
        <f>IFERROR(__xludf.DUMMYFUNCTION("""COMPUTED_VALUE"""),0.5660000000000001)</f>
        <v>0.566</v>
      </c>
      <c r="R6" s="453">
        <f>IFERROR(__xludf.DUMMYFUNCTION("""COMPUTED_VALUE"""),-0.018000000000000016)</f>
        <v>-0.018</v>
      </c>
      <c r="S6" s="457"/>
      <c r="T6" s="457"/>
      <c r="U6" s="457"/>
      <c r="V6" s="457"/>
      <c r="W6" s="458"/>
      <c r="X6" s="458"/>
    </row>
    <row r="7">
      <c r="B7" s="450" t="str">
        <f>IFERROR(__xludf.DUMMYFUNCTION("""COMPUTED_VALUE"""),"Rockville")</f>
        <v>Rockville</v>
      </c>
      <c r="C7" s="451">
        <f>IFERROR(__xludf.DUMMYFUNCTION("""COMPUTED_VALUE"""),28257.0)</f>
        <v>28257</v>
      </c>
      <c r="D7" s="451">
        <f>IFERROR(__xludf.DUMMYFUNCTION("""COMPUTED_VALUE"""),34372.0)</f>
        <v>34372</v>
      </c>
      <c r="E7" s="452">
        <f>IFERROR(__xludf.DUMMYFUNCTION("""COMPUTED_VALUE"""),-6115.0)</f>
        <v>-6115</v>
      </c>
      <c r="F7" s="453">
        <f>IFERROR(__xludf.DUMMYFUNCTION("""COMPUTED_VALUE"""),-0.17790643547073198)</f>
        <v>-0.1779064355</v>
      </c>
      <c r="G7" s="451">
        <f>IFERROR(__xludf.DUMMYFUNCTION("""COMPUTED_VALUE"""),31399.29)</f>
        <v>31399.29</v>
      </c>
      <c r="H7" s="452">
        <f>IFERROR(__xludf.DUMMYFUNCTION("""COMPUTED_VALUE"""),-3142.290000000001)</f>
        <v>-3142.29</v>
      </c>
      <c r="I7" s="453">
        <f>IFERROR(__xludf.DUMMYFUNCTION("""COMPUTED_VALUE"""),-0.10007519278302156)</f>
        <v>-0.1000751928</v>
      </c>
      <c r="J7" s="454">
        <f>IFERROR(__xludf.DUMMYFUNCTION("""COMPUTED_VALUE"""),0.258)</f>
        <v>0.258</v>
      </c>
      <c r="K7" s="454">
        <f>IFERROR(__xludf.DUMMYFUNCTION("""COMPUTED_VALUE"""),0.274)</f>
        <v>0.274</v>
      </c>
      <c r="L7" s="455">
        <f>IFERROR(__xludf.DUMMYFUNCTION("""COMPUTED_VALUE"""),-0.016000000000000014)</f>
        <v>-0.016</v>
      </c>
      <c r="M7" s="456">
        <f>IFERROR(__xludf.DUMMYFUNCTION("""COMPUTED_VALUE"""),0.252)</f>
        <v>0.252</v>
      </c>
      <c r="N7" s="454">
        <f>IFERROR(__xludf.DUMMYFUNCTION("""COMPUTED_VALUE"""),0.267)</f>
        <v>0.267</v>
      </c>
      <c r="O7" s="453">
        <f>IFERROR(__xludf.DUMMYFUNCTION("""COMPUTED_VALUE"""),-0.015000000000000013)</f>
        <v>-0.015</v>
      </c>
      <c r="P7" s="454">
        <f>IFERROR(__xludf.DUMMYFUNCTION("""COMPUTED_VALUE"""),0.51)</f>
        <v>0.51</v>
      </c>
      <c r="Q7" s="454">
        <f>IFERROR(__xludf.DUMMYFUNCTION("""COMPUTED_VALUE"""),0.541)</f>
        <v>0.541</v>
      </c>
      <c r="R7" s="453">
        <f>IFERROR(__xludf.DUMMYFUNCTION("""COMPUTED_VALUE"""),-0.031000000000000028)</f>
        <v>-0.031</v>
      </c>
      <c r="S7" s="457"/>
      <c r="T7" s="457"/>
      <c r="U7" s="457"/>
      <c r="V7" s="457"/>
      <c r="W7" s="458"/>
      <c r="X7" s="458"/>
    </row>
    <row r="8">
      <c r="B8" s="459" t="str">
        <f>IFERROR(__xludf.DUMMYFUNCTION("""COMPUTED_VALUE"""),"Totals")</f>
        <v>Totals</v>
      </c>
      <c r="C8" s="460">
        <f>IFERROR(__xludf.DUMMYFUNCTION("""COMPUTED_VALUE"""),138664.0)</f>
        <v>138664</v>
      </c>
      <c r="D8" s="460">
        <f>IFERROR(__xludf.DUMMYFUNCTION("""COMPUTED_VALUE"""),147467.0)</f>
        <v>147467</v>
      </c>
      <c r="E8" s="461">
        <f>IFERROR(__xludf.DUMMYFUNCTION("""COMPUTED_VALUE"""),-8803.0)</f>
        <v>-8803</v>
      </c>
      <c r="F8" s="447">
        <f>IFERROR(__xludf.DUMMYFUNCTION("""COMPUTED_VALUE"""),-0.05969471135915154)</f>
        <v>-0.05969471136</v>
      </c>
      <c r="G8" s="460">
        <f>IFERROR(__xludf.DUMMYFUNCTION("""COMPUTED_VALUE"""),161557.58000000002)</f>
        <v>161557.58</v>
      </c>
      <c r="H8" s="462">
        <f>IFERROR(__xludf.DUMMYFUNCTION("""COMPUTED_VALUE"""),-22893.58)</f>
        <v>-22893.58</v>
      </c>
      <c r="I8" s="447">
        <f>IFERROR(__xludf.DUMMYFUNCTION("""COMPUTED_VALUE"""),-0.14170539073437471)</f>
        <v>-0.1417053907</v>
      </c>
      <c r="J8" s="463">
        <f>IFERROR(__xludf.DUMMYFUNCTION("""COMPUTED_VALUE"""),0.263)</f>
        <v>0.263</v>
      </c>
      <c r="K8" s="464">
        <f>IFERROR(__xludf.DUMMYFUNCTION("""COMPUTED_VALUE"""),0.263)</f>
        <v>0.263</v>
      </c>
      <c r="L8" s="465">
        <f>IFERROR(__xludf.DUMMYFUNCTION("""COMPUTED_VALUE"""),0.0)</f>
        <v>0</v>
      </c>
      <c r="M8" s="463">
        <f>IFERROR(__xludf.DUMMYFUNCTION("""COMPUTED_VALUE"""),0.282)</f>
        <v>0.282</v>
      </c>
      <c r="N8" s="464">
        <f>IFERROR(__xludf.DUMMYFUNCTION("""COMPUTED_VALUE"""),0.262)</f>
        <v>0.262</v>
      </c>
      <c r="O8" s="447">
        <f>IFERROR(__xludf.DUMMYFUNCTION("""COMPUTED_VALUE"""),0.019999999999999962)</f>
        <v>0.02</v>
      </c>
      <c r="P8" s="464">
        <f>IFERROR(__xludf.DUMMYFUNCTION("""COMPUTED_VALUE"""),0.5449999999999999)</f>
        <v>0.545</v>
      </c>
      <c r="Q8" s="464">
        <f>IFERROR(__xludf.DUMMYFUNCTION("""COMPUTED_VALUE"""),0.525)</f>
        <v>0.525</v>
      </c>
      <c r="R8" s="447">
        <f>IFERROR(__xludf.DUMMYFUNCTION("""COMPUTED_VALUE"""),0.019999999999999907)</f>
        <v>0.02</v>
      </c>
      <c r="S8" s="448"/>
      <c r="T8" s="448"/>
      <c r="U8" s="448"/>
      <c r="V8" s="448"/>
      <c r="W8" s="458"/>
      <c r="X8" s="458"/>
    </row>
    <row r="9">
      <c r="C9" s="177"/>
      <c r="D9" s="177"/>
      <c r="E9" s="177"/>
      <c r="F9" s="177"/>
      <c r="G9" s="177"/>
    </row>
    <row r="10">
      <c r="Y10" s="246"/>
      <c r="AA10" s="449"/>
    </row>
    <row r="11">
      <c r="B11" s="466" t="str">
        <f>IFERROR(__xludf.DUMMYFUNCTION("IMPORTRANGE(""https://docs.google.com/spreadsheets/d/1rvSw8TokJxxMPNo9zCeN0TVGCwqWJYqsUgV1Y381wpc/edit?gid=1529235844#gid=1529235844"",""Weekly in-store leadership metrics!A1:M15"")"),"In-Store Metrics")</f>
        <v>In-Store Metrics</v>
      </c>
      <c r="C11" s="445" t="str">
        <f>IFERROR(__xludf.DUMMYFUNCTION("""COMPUTED_VALUE"""),"Location")</f>
        <v>Location</v>
      </c>
      <c r="D11" s="446" t="str">
        <f>IFERROR(__xludf.DUMMYFUNCTION("""COMPUTED_VALUE"""),"# Reviews")</f>
        <v># Reviews</v>
      </c>
      <c r="E11" s="446" t="str">
        <f>IFERROR(__xludf.DUMMYFUNCTION("""COMPUTED_VALUE"""),"Rating")</f>
        <v>Rating</v>
      </c>
      <c r="F11" s="446" t="str">
        <f>IFERROR(__xludf.DUMMYFUNCTION("""COMPUTED_VALUE"""),"5 Star")</f>
        <v>5 Star</v>
      </c>
      <c r="G11" s="446" t="str">
        <f>IFERROR(__xludf.DUMMYFUNCTION("""COMPUTED_VALUE"""),"4 Star")</f>
        <v>4 Star</v>
      </c>
      <c r="H11" s="446" t="str">
        <f>IFERROR(__xludf.DUMMYFUNCTION("""COMPUTED_VALUE"""),"3 Star")</f>
        <v>3 Star</v>
      </c>
      <c r="I11" s="446" t="str">
        <f>IFERROR(__xludf.DUMMYFUNCTION("""COMPUTED_VALUE"""),"2 Star")</f>
        <v>2 Star</v>
      </c>
      <c r="J11" s="446" t="str">
        <f>IFERROR(__xludf.DUMMYFUNCTION("""COMPUTED_VALUE"""),"1 Star")</f>
        <v>1 Star</v>
      </c>
      <c r="K11" s="446" t="str">
        <f>IFERROR(__xludf.DUMMYFUNCTION("""COMPUTED_VALUE"""),"Yelp")</f>
        <v>Yelp</v>
      </c>
      <c r="L11" s="446" t="str">
        <f>IFERROR(__xludf.DUMMYFUNCTION("""COMPUTED_VALUE"""),"Yelp #")</f>
        <v>Yelp #</v>
      </c>
      <c r="M11" s="446" t="str">
        <f>IFERROR(__xludf.DUMMYFUNCTION("""COMPUTED_VALUE"""),"Google")</f>
        <v>Google</v>
      </c>
      <c r="N11" s="446" t="str">
        <f>IFERROR(__xludf.DUMMYFUNCTION("""COMPUTED_VALUE"""),"Google #")</f>
        <v>Google #</v>
      </c>
      <c r="U11" s="448"/>
      <c r="V11" s="448"/>
      <c r="W11" s="448"/>
      <c r="Y11" s="246"/>
    </row>
    <row r="12">
      <c r="B12" s="177" t="str">
        <f>IFERROR(__xludf.DUMMYFUNCTION("""COMPUTED_VALUE"""),"Weekly")</f>
        <v>Weekly</v>
      </c>
      <c r="C12" s="467" t="str">
        <f>IFERROR(__xludf.DUMMYFUNCTION("""COMPUTED_VALUE"""),"Ballpark")</f>
        <v>Ballpark</v>
      </c>
      <c r="D12" s="468">
        <f>IFERROR(__xludf.DUMMYFUNCTION("""COMPUTED_VALUE"""),0.0)</f>
        <v>0</v>
      </c>
      <c r="E12" s="469" t="str">
        <f>IFERROR(__xludf.DUMMYFUNCTION("""COMPUTED_VALUE"""),"NA")</f>
        <v>NA</v>
      </c>
      <c r="F12" s="468">
        <f>IFERROR(__xludf.DUMMYFUNCTION("""COMPUTED_VALUE"""),0.0)</f>
        <v>0</v>
      </c>
      <c r="G12" s="468">
        <f>IFERROR(__xludf.DUMMYFUNCTION("""COMPUTED_VALUE"""),0.0)</f>
        <v>0</v>
      </c>
      <c r="H12" s="468">
        <f>IFERROR(__xludf.DUMMYFUNCTION("""COMPUTED_VALUE"""),0.0)</f>
        <v>0</v>
      </c>
      <c r="I12" s="468">
        <f>IFERROR(__xludf.DUMMYFUNCTION("""COMPUTED_VALUE"""),0.0)</f>
        <v>0</v>
      </c>
      <c r="J12" s="468">
        <f>IFERROR(__xludf.DUMMYFUNCTION("""COMPUTED_VALUE"""),0.0)</f>
        <v>0</v>
      </c>
      <c r="K12" s="470" t="str">
        <f>IFERROR(__xludf.DUMMYFUNCTION("""COMPUTED_VALUE"""),"NA")</f>
        <v>NA</v>
      </c>
      <c r="L12" s="468">
        <f>IFERROR(__xludf.DUMMYFUNCTION("""COMPUTED_VALUE"""),0.0)</f>
        <v>0</v>
      </c>
      <c r="M12" s="470" t="str">
        <f>IFERROR(__xludf.DUMMYFUNCTION("""COMPUTED_VALUE"""),"NA")</f>
        <v>NA</v>
      </c>
      <c r="N12" s="468">
        <f>IFERROR(__xludf.DUMMYFUNCTION("""COMPUTED_VALUE"""),0.0)</f>
        <v>0</v>
      </c>
      <c r="U12" s="457"/>
      <c r="V12" s="457"/>
      <c r="W12" s="457"/>
    </row>
    <row r="13">
      <c r="B13" s="177" t="str">
        <f>IFERROR(__xludf.DUMMYFUNCTION("""COMPUTED_VALUE"""),"Yelp and Google")</f>
        <v>Yelp and Google</v>
      </c>
      <c r="C13" s="467" t="str">
        <f>IFERROR(__xludf.DUMMYFUNCTION("""COMPUTED_VALUE"""),"MVT")</f>
        <v>MVT</v>
      </c>
      <c r="D13" s="468">
        <f>IFERROR(__xludf.DUMMYFUNCTION("""COMPUTED_VALUE"""),1.0)</f>
        <v>1</v>
      </c>
      <c r="E13" s="469">
        <f>IFERROR(__xludf.DUMMYFUNCTION("""COMPUTED_VALUE"""),5.0)</f>
        <v>5</v>
      </c>
      <c r="F13" s="468">
        <f>IFERROR(__xludf.DUMMYFUNCTION("""COMPUTED_VALUE"""),1.0)</f>
        <v>1</v>
      </c>
      <c r="G13" s="468">
        <f>IFERROR(__xludf.DUMMYFUNCTION("""COMPUTED_VALUE"""),0.0)</f>
        <v>0</v>
      </c>
      <c r="H13" s="468">
        <f>IFERROR(__xludf.DUMMYFUNCTION("""COMPUTED_VALUE"""),0.0)</f>
        <v>0</v>
      </c>
      <c r="I13" s="468">
        <f>IFERROR(__xludf.DUMMYFUNCTION("""COMPUTED_VALUE"""),0.0)</f>
        <v>0</v>
      </c>
      <c r="J13" s="468">
        <f>IFERROR(__xludf.DUMMYFUNCTION("""COMPUTED_VALUE"""),0.0)</f>
        <v>0</v>
      </c>
      <c r="K13" s="470" t="str">
        <f>IFERROR(__xludf.DUMMYFUNCTION("""COMPUTED_VALUE"""),"NA")</f>
        <v>NA</v>
      </c>
      <c r="L13" s="468">
        <f>IFERROR(__xludf.DUMMYFUNCTION("""COMPUTED_VALUE"""),0.0)</f>
        <v>0</v>
      </c>
      <c r="M13" s="470">
        <f>IFERROR(__xludf.DUMMYFUNCTION("""COMPUTED_VALUE"""),5.0)</f>
        <v>5</v>
      </c>
      <c r="N13" s="468">
        <f>IFERROR(__xludf.DUMMYFUNCTION("""COMPUTED_VALUE"""),1.0)</f>
        <v>1</v>
      </c>
      <c r="U13" s="457"/>
      <c r="V13" s="457"/>
      <c r="W13" s="457"/>
    </row>
    <row r="14">
      <c r="B14" s="177"/>
      <c r="C14" s="467" t="str">
        <f>IFERROR(__xludf.DUMMYFUNCTION("""COMPUTED_VALUE"""),"NL")</f>
        <v>NL</v>
      </c>
      <c r="D14" s="468">
        <f>IFERROR(__xludf.DUMMYFUNCTION("""COMPUTED_VALUE"""),2.0)</f>
        <v>2</v>
      </c>
      <c r="E14" s="469">
        <f>IFERROR(__xludf.DUMMYFUNCTION("""COMPUTED_VALUE"""),5.0)</f>
        <v>5</v>
      </c>
      <c r="F14" s="468">
        <f>IFERROR(__xludf.DUMMYFUNCTION("""COMPUTED_VALUE"""),2.0)</f>
        <v>2</v>
      </c>
      <c r="G14" s="468">
        <f>IFERROR(__xludf.DUMMYFUNCTION("""COMPUTED_VALUE"""),0.0)</f>
        <v>0</v>
      </c>
      <c r="H14" s="468">
        <f>IFERROR(__xludf.DUMMYFUNCTION("""COMPUTED_VALUE"""),0.0)</f>
        <v>0</v>
      </c>
      <c r="I14" s="468">
        <f>IFERROR(__xludf.DUMMYFUNCTION("""COMPUTED_VALUE"""),0.0)</f>
        <v>0</v>
      </c>
      <c r="J14" s="468">
        <f>IFERROR(__xludf.DUMMYFUNCTION("""COMPUTED_VALUE"""),0.0)</f>
        <v>0</v>
      </c>
      <c r="K14" s="470" t="str">
        <f>IFERROR(__xludf.DUMMYFUNCTION("""COMPUTED_VALUE"""),"NA")</f>
        <v>NA</v>
      </c>
      <c r="L14" s="468">
        <f>IFERROR(__xludf.DUMMYFUNCTION("""COMPUTED_VALUE"""),0.0)</f>
        <v>0</v>
      </c>
      <c r="M14" s="470">
        <f>IFERROR(__xludf.DUMMYFUNCTION("""COMPUTED_VALUE"""),5.0)</f>
        <v>5</v>
      </c>
      <c r="N14" s="468">
        <f>IFERROR(__xludf.DUMMYFUNCTION("""COMPUTED_VALUE"""),2.0)</f>
        <v>2</v>
      </c>
      <c r="U14" s="457"/>
      <c r="V14" s="457"/>
      <c r="W14" s="457"/>
    </row>
    <row r="15">
      <c r="B15" s="177"/>
      <c r="C15" s="467" t="str">
        <f>IFERROR(__xludf.DUMMYFUNCTION("""COMPUTED_VALUE"""),"Mosaic")</f>
        <v>Mosaic</v>
      </c>
      <c r="D15" s="468">
        <f>IFERROR(__xludf.DUMMYFUNCTION("""COMPUTED_VALUE"""),1.0)</f>
        <v>1</v>
      </c>
      <c r="E15" s="469">
        <f>IFERROR(__xludf.DUMMYFUNCTION("""COMPUTED_VALUE"""),5.0)</f>
        <v>5</v>
      </c>
      <c r="F15" s="468">
        <f>IFERROR(__xludf.DUMMYFUNCTION("""COMPUTED_VALUE"""),1.0)</f>
        <v>1</v>
      </c>
      <c r="G15" s="468">
        <f>IFERROR(__xludf.DUMMYFUNCTION("""COMPUTED_VALUE"""),0.0)</f>
        <v>0</v>
      </c>
      <c r="H15" s="468">
        <f>IFERROR(__xludf.DUMMYFUNCTION("""COMPUTED_VALUE"""),0.0)</f>
        <v>0</v>
      </c>
      <c r="I15" s="468">
        <f>IFERROR(__xludf.DUMMYFUNCTION("""COMPUTED_VALUE"""),0.0)</f>
        <v>0</v>
      </c>
      <c r="J15" s="468">
        <f>IFERROR(__xludf.DUMMYFUNCTION("""COMPUTED_VALUE"""),0.0)</f>
        <v>0</v>
      </c>
      <c r="K15" s="470" t="str">
        <f>IFERROR(__xludf.DUMMYFUNCTION("""COMPUTED_VALUE"""),"NA")</f>
        <v>NA</v>
      </c>
      <c r="L15" s="468">
        <f>IFERROR(__xludf.DUMMYFUNCTION("""COMPUTED_VALUE"""),0.0)</f>
        <v>0</v>
      </c>
      <c r="M15" s="470">
        <f>IFERROR(__xludf.DUMMYFUNCTION("""COMPUTED_VALUE"""),5.0)</f>
        <v>5</v>
      </c>
      <c r="N15" s="468">
        <f>IFERROR(__xludf.DUMMYFUNCTION("""COMPUTED_VALUE"""),1.0)</f>
        <v>1</v>
      </c>
      <c r="U15" s="457"/>
      <c r="V15" s="457"/>
      <c r="W15" s="457"/>
    </row>
    <row r="16">
      <c r="B16" s="177"/>
      <c r="C16" s="467" t="str">
        <f>IFERROR(__xludf.DUMMYFUNCTION("""COMPUTED_VALUE"""),"Rockville")</f>
        <v>Rockville</v>
      </c>
      <c r="D16" s="468">
        <f>IFERROR(__xludf.DUMMYFUNCTION("""COMPUTED_VALUE"""),3.0)</f>
        <v>3</v>
      </c>
      <c r="E16" s="469">
        <f>IFERROR(__xludf.DUMMYFUNCTION("""COMPUTED_VALUE"""),4.3)</f>
        <v>4.3</v>
      </c>
      <c r="F16" s="468">
        <f>IFERROR(__xludf.DUMMYFUNCTION("""COMPUTED_VALUE"""),2.0)</f>
        <v>2</v>
      </c>
      <c r="G16" s="468">
        <f>IFERROR(__xludf.DUMMYFUNCTION("""COMPUTED_VALUE"""),0.0)</f>
        <v>0</v>
      </c>
      <c r="H16" s="468">
        <f>IFERROR(__xludf.DUMMYFUNCTION("""COMPUTED_VALUE"""),1.0)</f>
        <v>1</v>
      </c>
      <c r="I16" s="468">
        <f>IFERROR(__xludf.DUMMYFUNCTION("""COMPUTED_VALUE"""),0.0)</f>
        <v>0</v>
      </c>
      <c r="J16" s="468">
        <f>IFERROR(__xludf.DUMMYFUNCTION("""COMPUTED_VALUE"""),0.0)</f>
        <v>0</v>
      </c>
      <c r="K16" s="470">
        <f>IFERROR(__xludf.DUMMYFUNCTION("""COMPUTED_VALUE"""),3.0)</f>
        <v>3</v>
      </c>
      <c r="L16" s="468">
        <f>IFERROR(__xludf.DUMMYFUNCTION("""COMPUTED_VALUE"""),1.0)</f>
        <v>1</v>
      </c>
      <c r="M16" s="470">
        <f>IFERROR(__xludf.DUMMYFUNCTION("""COMPUTED_VALUE"""),5.0)</f>
        <v>5</v>
      </c>
      <c r="N16" s="468">
        <f>IFERROR(__xludf.DUMMYFUNCTION("""COMPUTED_VALUE"""),2.0)</f>
        <v>2</v>
      </c>
      <c r="U16" s="457"/>
      <c r="V16" s="457"/>
      <c r="W16" s="457"/>
    </row>
    <row r="17">
      <c r="B17" s="471"/>
      <c r="C17" s="445" t="str">
        <f>IFERROR(__xludf.DUMMYFUNCTION("""COMPUTED_VALUE"""),"Total")</f>
        <v>Total</v>
      </c>
      <c r="D17" s="472">
        <f>IFERROR(__xludf.DUMMYFUNCTION("""COMPUTED_VALUE"""),7.0)</f>
        <v>7</v>
      </c>
      <c r="E17" s="473">
        <f>IFERROR(__xludf.DUMMYFUNCTION("""COMPUTED_VALUE"""),4.71)</f>
        <v>4.71</v>
      </c>
      <c r="F17" s="472">
        <f>IFERROR(__xludf.DUMMYFUNCTION("""COMPUTED_VALUE"""),6.0)</f>
        <v>6</v>
      </c>
      <c r="G17" s="472">
        <f>IFERROR(__xludf.DUMMYFUNCTION("""COMPUTED_VALUE"""),0.0)</f>
        <v>0</v>
      </c>
      <c r="H17" s="472">
        <f>IFERROR(__xludf.DUMMYFUNCTION("""COMPUTED_VALUE"""),1.0)</f>
        <v>1</v>
      </c>
      <c r="I17" s="472">
        <f>IFERROR(__xludf.DUMMYFUNCTION("""COMPUTED_VALUE"""),0.0)</f>
        <v>0</v>
      </c>
      <c r="J17" s="472">
        <f>IFERROR(__xludf.DUMMYFUNCTION("""COMPUTED_VALUE"""),0.0)</f>
        <v>0</v>
      </c>
      <c r="K17" s="473">
        <f>IFERROR(__xludf.DUMMYFUNCTION("""COMPUTED_VALUE"""),3.0)</f>
        <v>3</v>
      </c>
      <c r="L17" s="446">
        <f>IFERROR(__xludf.DUMMYFUNCTION("""COMPUTED_VALUE"""),1.0)</f>
        <v>1</v>
      </c>
      <c r="M17" s="473">
        <f>IFERROR(__xludf.DUMMYFUNCTION("""COMPUTED_VALUE"""),5.0)</f>
        <v>5</v>
      </c>
      <c r="N17" s="446">
        <f>IFERROR(__xludf.DUMMYFUNCTION("""COMPUTED_VALUE"""),6.0)</f>
        <v>6</v>
      </c>
      <c r="U17" s="448"/>
      <c r="V17" s="448"/>
      <c r="W17" s="448"/>
    </row>
    <row r="18"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>
      <c r="B19" s="466" t="str">
        <f>IFERROR(__xludf.DUMMYFUNCTION("""COMPUTED_VALUE"""),"3rd Party Metrics")</f>
        <v>3rd Party Metrics</v>
      </c>
      <c r="C19" s="445" t="str">
        <f>IFERROR(__xludf.DUMMYFUNCTION("""COMPUTED_VALUE"""),"Location")</f>
        <v>Location</v>
      </c>
      <c r="D19" s="446" t="str">
        <f>IFERROR(__xludf.DUMMYFUNCTION("""COMPUTED_VALUE"""),"# Reviews")</f>
        <v># Reviews</v>
      </c>
      <c r="E19" s="446" t="str">
        <f>IFERROR(__xludf.DUMMYFUNCTION("""COMPUTED_VALUE"""),"Rating")</f>
        <v>Rating</v>
      </c>
      <c r="F19" s="446" t="str">
        <f>IFERROR(__xludf.DUMMYFUNCTION("""COMPUTED_VALUE"""),"5 Star")</f>
        <v>5 Star</v>
      </c>
      <c r="G19" s="446" t="str">
        <f>IFERROR(__xludf.DUMMYFUNCTION("""COMPUTED_VALUE"""),"4 Star")</f>
        <v>4 Star</v>
      </c>
      <c r="H19" s="446" t="str">
        <f>IFERROR(__xludf.DUMMYFUNCTION("""COMPUTED_VALUE"""),"3 Star")</f>
        <v>3 Star</v>
      </c>
      <c r="I19" s="446" t="str">
        <f>IFERROR(__xludf.DUMMYFUNCTION("""COMPUTED_VALUE"""),"2 Star")</f>
        <v>2 Star</v>
      </c>
      <c r="J19" s="446" t="str">
        <f>IFERROR(__xludf.DUMMYFUNCTION("""COMPUTED_VALUE"""),"1 Star")</f>
        <v>1 Star</v>
      </c>
      <c r="K19" s="446" t="str">
        <f>IFERROR(__xludf.DUMMYFUNCTION("""COMPUTED_VALUE"""),"Uber")</f>
        <v>Uber</v>
      </c>
      <c r="L19" s="446" t="str">
        <f>IFERROR(__xludf.DUMMYFUNCTION("""COMPUTED_VALUE"""),"DD")</f>
        <v>DD</v>
      </c>
      <c r="M19" s="446" t="str">
        <f>IFERROR(__xludf.DUMMYFUNCTION("""COMPUTED_VALUE"""),"GH")</f>
        <v>GH</v>
      </c>
      <c r="N19" s="446" t="str">
        <f>IFERROR(__xludf.DUMMYFUNCTION("""COMPUTED_VALUE"""),"Error Rate")</f>
        <v>Error Rate</v>
      </c>
      <c r="Y19" s="246"/>
    </row>
    <row r="20">
      <c r="B20" s="177" t="str">
        <f>IFERROR(__xludf.DUMMYFUNCTION("""COMPUTED_VALUE"""),"Weekly")</f>
        <v>Weekly</v>
      </c>
      <c r="C20" s="467" t="str">
        <f>IFERROR(__xludf.DUMMYFUNCTION("""COMPUTED_VALUE"""),"Ballpark")</f>
        <v>Ballpark</v>
      </c>
      <c r="D20" s="468">
        <f>IFERROR(__xludf.DUMMYFUNCTION("""COMPUTED_VALUE"""),11.0)</f>
        <v>11</v>
      </c>
      <c r="E20" s="474">
        <f>IFERROR(__xludf.DUMMYFUNCTION("""COMPUTED_VALUE"""),4.5)</f>
        <v>4.5</v>
      </c>
      <c r="F20" s="468">
        <f>IFERROR(__xludf.DUMMYFUNCTION("""COMPUTED_VALUE"""),8.0)</f>
        <v>8</v>
      </c>
      <c r="G20" s="468">
        <f>IFERROR(__xludf.DUMMYFUNCTION("""COMPUTED_VALUE"""),2.0)</f>
        <v>2</v>
      </c>
      <c r="H20" s="468">
        <f>IFERROR(__xludf.DUMMYFUNCTION("""COMPUTED_VALUE"""),0.0)</f>
        <v>0</v>
      </c>
      <c r="I20" s="468">
        <f>IFERROR(__xludf.DUMMYFUNCTION("""COMPUTED_VALUE"""),0.0)</f>
        <v>0</v>
      </c>
      <c r="J20" s="468">
        <f>IFERROR(__xludf.DUMMYFUNCTION("""COMPUTED_VALUE"""),1.0)</f>
        <v>1</v>
      </c>
      <c r="K20" s="475">
        <f>IFERROR(__xludf.DUMMYFUNCTION("""COMPUTED_VALUE"""),4.29)</f>
        <v>4.29</v>
      </c>
      <c r="L20" s="475">
        <f>IFERROR(__xludf.DUMMYFUNCTION("""COMPUTED_VALUE"""),4.75)</f>
        <v>4.75</v>
      </c>
      <c r="M20" s="476" t="str">
        <f>IFERROR(__xludf.DUMMYFUNCTION("""COMPUTED_VALUE"""),"NA")</f>
        <v>NA</v>
      </c>
      <c r="N20" s="454">
        <f>IFERROR(__xludf.DUMMYFUNCTION("""COMPUTED_VALUE"""),0.0443)</f>
        <v>0.0443</v>
      </c>
      <c r="Y20" s="246"/>
    </row>
    <row r="21" ht="15.75" customHeight="1">
      <c r="B21" s="177" t="str">
        <f>IFERROR(__xludf.DUMMYFUNCTION("""COMPUTED_VALUE"""),"UE / DD / GH")</f>
        <v>UE / DD / GH</v>
      </c>
      <c r="C21" s="467" t="str">
        <f>IFERROR(__xludf.DUMMYFUNCTION("""COMPUTED_VALUE"""),"MVT")</f>
        <v>MVT</v>
      </c>
      <c r="D21" s="468">
        <f>IFERROR(__xludf.DUMMYFUNCTION("""COMPUTED_VALUE"""),28.0)</f>
        <v>28</v>
      </c>
      <c r="E21" s="474">
        <f>IFERROR(__xludf.DUMMYFUNCTION("""COMPUTED_VALUE"""),4.5)</f>
        <v>4.5</v>
      </c>
      <c r="F21" s="468">
        <f>IFERROR(__xludf.DUMMYFUNCTION("""COMPUTED_VALUE"""),16.0)</f>
        <v>16</v>
      </c>
      <c r="G21" s="468">
        <f>IFERROR(__xludf.DUMMYFUNCTION("""COMPUTED_VALUE"""),10.0)</f>
        <v>10</v>
      </c>
      <c r="H21" s="468">
        <f>IFERROR(__xludf.DUMMYFUNCTION("""COMPUTED_VALUE"""),1.0)</f>
        <v>1</v>
      </c>
      <c r="I21" s="468">
        <f>IFERROR(__xludf.DUMMYFUNCTION("""COMPUTED_VALUE"""),1.0)</f>
        <v>1</v>
      </c>
      <c r="J21" s="468">
        <f>IFERROR(__xludf.DUMMYFUNCTION("""COMPUTED_VALUE"""),0.0)</f>
        <v>0</v>
      </c>
      <c r="K21" s="475">
        <f>IFERROR(__xludf.DUMMYFUNCTION("""COMPUTED_VALUE"""),4.62)</f>
        <v>4.62</v>
      </c>
      <c r="L21" s="475">
        <f>IFERROR(__xludf.DUMMYFUNCTION("""COMPUTED_VALUE"""),4.17)</f>
        <v>4.17</v>
      </c>
      <c r="M21" s="476" t="str">
        <f>IFERROR(__xludf.DUMMYFUNCTION("""COMPUTED_VALUE"""),"NA")</f>
        <v>NA</v>
      </c>
      <c r="N21" s="454">
        <f>IFERROR(__xludf.DUMMYFUNCTION("""COMPUTED_VALUE"""),0.0412)</f>
        <v>0.0412</v>
      </c>
      <c r="Y21" s="246"/>
    </row>
    <row r="22" ht="15.75" customHeight="1">
      <c r="B22" s="177"/>
      <c r="C22" s="467" t="str">
        <f>IFERROR(__xludf.DUMMYFUNCTION("""COMPUTED_VALUE"""),"NL")</f>
        <v>NL</v>
      </c>
      <c r="D22" s="468">
        <f>IFERROR(__xludf.DUMMYFUNCTION("""COMPUTED_VALUE"""),21.0)</f>
        <v>21</v>
      </c>
      <c r="E22" s="474">
        <f>IFERROR(__xludf.DUMMYFUNCTION("""COMPUTED_VALUE"""),4.4)</f>
        <v>4.4</v>
      </c>
      <c r="F22" s="468">
        <f>IFERROR(__xludf.DUMMYFUNCTION("""COMPUTED_VALUE"""),13.0)</f>
        <v>13</v>
      </c>
      <c r="G22" s="468">
        <f>IFERROR(__xludf.DUMMYFUNCTION("""COMPUTED_VALUE"""),6.0)</f>
        <v>6</v>
      </c>
      <c r="H22" s="468">
        <f>IFERROR(__xludf.DUMMYFUNCTION("""COMPUTED_VALUE"""),0.0)</f>
        <v>0</v>
      </c>
      <c r="I22" s="468">
        <f>IFERROR(__xludf.DUMMYFUNCTION("""COMPUTED_VALUE"""),2.0)</f>
        <v>2</v>
      </c>
      <c r="J22" s="468">
        <f>IFERROR(__xludf.DUMMYFUNCTION("""COMPUTED_VALUE"""),0.0)</f>
        <v>0</v>
      </c>
      <c r="K22" s="475">
        <f>IFERROR(__xludf.DUMMYFUNCTION("""COMPUTED_VALUE"""),5.0)</f>
        <v>5</v>
      </c>
      <c r="L22" s="475">
        <f>IFERROR(__xludf.DUMMYFUNCTION("""COMPUTED_VALUE"""),4.08)</f>
        <v>4.08</v>
      </c>
      <c r="M22" s="476" t="str">
        <f>IFERROR(__xludf.DUMMYFUNCTION("""COMPUTED_VALUE"""),"NA")</f>
        <v>NA</v>
      </c>
      <c r="N22" s="454">
        <f>IFERROR(__xludf.DUMMYFUNCTION("""COMPUTED_VALUE"""),0.0114)</f>
        <v>0.0114</v>
      </c>
      <c r="Y22" s="246"/>
    </row>
    <row r="23" ht="15.75" customHeight="1">
      <c r="B23" s="177"/>
      <c r="C23" s="467" t="str">
        <f>IFERROR(__xludf.DUMMYFUNCTION("""COMPUTED_VALUE"""),"Mosaic")</f>
        <v>Mosaic</v>
      </c>
      <c r="D23" s="468">
        <f>IFERROR(__xludf.DUMMYFUNCTION("""COMPUTED_VALUE"""),14.0)</f>
        <v>14</v>
      </c>
      <c r="E23" s="474">
        <f>IFERROR(__xludf.DUMMYFUNCTION("""COMPUTED_VALUE"""),4.1)</f>
        <v>4.1</v>
      </c>
      <c r="F23" s="468">
        <f>IFERROR(__xludf.DUMMYFUNCTION("""COMPUTED_VALUE"""),6.0)</f>
        <v>6</v>
      </c>
      <c r="G23" s="468">
        <f>IFERROR(__xludf.DUMMYFUNCTION("""COMPUTED_VALUE"""),5.0)</f>
        <v>5</v>
      </c>
      <c r="H23" s="468">
        <f>IFERROR(__xludf.DUMMYFUNCTION("""COMPUTED_VALUE"""),1.0)</f>
        <v>1</v>
      </c>
      <c r="I23" s="468">
        <f>IFERROR(__xludf.DUMMYFUNCTION("""COMPUTED_VALUE"""),2.0)</f>
        <v>2</v>
      </c>
      <c r="J23" s="468">
        <f>IFERROR(__xludf.DUMMYFUNCTION("""COMPUTED_VALUE"""),0.0)</f>
        <v>0</v>
      </c>
      <c r="K23" s="475">
        <f>IFERROR(__xludf.DUMMYFUNCTION("""COMPUTED_VALUE"""),4.5)</f>
        <v>4.5</v>
      </c>
      <c r="L23" s="475">
        <f>IFERROR(__xludf.DUMMYFUNCTION("""COMPUTED_VALUE"""),3.87)</f>
        <v>3.87</v>
      </c>
      <c r="M23" s="476" t="str">
        <f>IFERROR(__xludf.DUMMYFUNCTION("""COMPUTED_VALUE"""),"NA")</f>
        <v>NA</v>
      </c>
      <c r="N23" s="454">
        <f>IFERROR(__xludf.DUMMYFUNCTION("""COMPUTED_VALUE"""),0.0122)</f>
        <v>0.0122</v>
      </c>
      <c r="Y23" s="246"/>
    </row>
    <row r="24" ht="15.75" customHeight="1">
      <c r="B24" s="177"/>
      <c r="C24" s="467" t="str">
        <f>IFERROR(__xludf.DUMMYFUNCTION("""COMPUTED_VALUE"""),"Rockville")</f>
        <v>Rockville</v>
      </c>
      <c r="D24" s="468">
        <f>IFERROR(__xludf.DUMMYFUNCTION("""COMPUTED_VALUE"""),10.0)</f>
        <v>10</v>
      </c>
      <c r="E24" s="474">
        <f>IFERROR(__xludf.DUMMYFUNCTION("""COMPUTED_VALUE"""),4.1)</f>
        <v>4.1</v>
      </c>
      <c r="F24" s="468">
        <f>IFERROR(__xludf.DUMMYFUNCTION("""COMPUTED_VALUE"""),4.0)</f>
        <v>4</v>
      </c>
      <c r="G24" s="468">
        <f>IFERROR(__xludf.DUMMYFUNCTION("""COMPUTED_VALUE"""),5.0)</f>
        <v>5</v>
      </c>
      <c r="H24" s="468">
        <f>IFERROR(__xludf.DUMMYFUNCTION("""COMPUTED_VALUE"""),0.0)</f>
        <v>0</v>
      </c>
      <c r="I24" s="468">
        <f>IFERROR(__xludf.DUMMYFUNCTION("""COMPUTED_VALUE"""),0.0)</f>
        <v>0</v>
      </c>
      <c r="J24" s="468">
        <f>IFERROR(__xludf.DUMMYFUNCTION("""COMPUTED_VALUE"""),1.0)</f>
        <v>1</v>
      </c>
      <c r="K24" s="475">
        <f>IFERROR(__xludf.DUMMYFUNCTION("""COMPUTED_VALUE"""),4.0)</f>
        <v>4</v>
      </c>
      <c r="L24" s="475">
        <f>IFERROR(__xludf.DUMMYFUNCTION("""COMPUTED_VALUE"""),4.2)</f>
        <v>4.2</v>
      </c>
      <c r="M24" s="476" t="str">
        <f>IFERROR(__xludf.DUMMYFUNCTION("""COMPUTED_VALUE"""),"NA")</f>
        <v>NA</v>
      </c>
      <c r="N24" s="454">
        <f>IFERROR(__xludf.DUMMYFUNCTION("""COMPUTED_VALUE"""),0.046)</f>
        <v>0.046</v>
      </c>
      <c r="Y24" s="246"/>
    </row>
    <row r="25" ht="15.75" customHeight="1">
      <c r="B25" s="471"/>
      <c r="C25" s="445" t="str">
        <f>IFERROR(__xludf.DUMMYFUNCTION("""COMPUTED_VALUE"""),"Total")</f>
        <v>Total</v>
      </c>
      <c r="D25" s="472">
        <f>IFERROR(__xludf.DUMMYFUNCTION("""COMPUTED_VALUE"""),84.0)</f>
        <v>84</v>
      </c>
      <c r="E25" s="477">
        <f>IFERROR(__xludf.DUMMYFUNCTION("""COMPUTED_VALUE"""),4.32)</f>
        <v>4.32</v>
      </c>
      <c r="F25" s="472">
        <f>IFERROR(__xludf.DUMMYFUNCTION("""COMPUTED_VALUE"""),47.0)</f>
        <v>47</v>
      </c>
      <c r="G25" s="472">
        <f>IFERROR(__xludf.DUMMYFUNCTION("""COMPUTED_VALUE"""),28.0)</f>
        <v>28</v>
      </c>
      <c r="H25" s="472">
        <f>IFERROR(__xludf.DUMMYFUNCTION("""COMPUTED_VALUE"""),2.0)</f>
        <v>2</v>
      </c>
      <c r="I25" s="472">
        <f>IFERROR(__xludf.DUMMYFUNCTION("""COMPUTED_VALUE"""),5.0)</f>
        <v>5</v>
      </c>
      <c r="J25" s="472">
        <f>IFERROR(__xludf.DUMMYFUNCTION("""COMPUTED_VALUE"""),2.0)</f>
        <v>2</v>
      </c>
      <c r="K25" s="473">
        <f>IFERROR(__xludf.DUMMYFUNCTION("""COMPUTED_VALUE"""),4.56)</f>
        <v>4.56</v>
      </c>
      <c r="L25" s="473">
        <f>IFERROR(__xludf.DUMMYFUNCTION("""COMPUTED_VALUE"""),4.15)</f>
        <v>4.15</v>
      </c>
      <c r="M25" s="446" t="str">
        <f>IFERROR(__xludf.DUMMYFUNCTION("""COMPUTED_VALUE"""),"NA")</f>
        <v>NA</v>
      </c>
      <c r="N25" s="464">
        <f>IFERROR(__xludf.DUMMYFUNCTION("""COMPUTED_VALUE"""),0.03102)</f>
        <v>0.03102</v>
      </c>
      <c r="Y25" s="246"/>
    </row>
    <row r="26" ht="15.75" customHeight="1">
      <c r="Y26" s="246"/>
    </row>
    <row r="27" ht="15.75" customHeight="1">
      <c r="B27" s="177" t="s">
        <v>142</v>
      </c>
      <c r="J27" s="449"/>
      <c r="K27" s="449"/>
      <c r="Y27" s="246"/>
    </row>
    <row r="28" ht="15.75" customHeight="1">
      <c r="C28" s="478" t="s">
        <v>143</v>
      </c>
      <c r="D28" s="479"/>
      <c r="E28" s="478" t="s">
        <v>144</v>
      </c>
      <c r="F28" s="479"/>
      <c r="H28" s="480"/>
      <c r="J28" s="449"/>
      <c r="K28" s="449"/>
      <c r="Y28" s="246"/>
    </row>
    <row r="29" ht="15.75" customHeight="1">
      <c r="B29" s="445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46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46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46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46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46" t="s">
        <v>145</v>
      </c>
      <c r="H29" s="446" t="s">
        <v>146</v>
      </c>
      <c r="J29" s="448"/>
      <c r="K29" s="481"/>
      <c r="Y29" s="246"/>
    </row>
    <row r="30" ht="15.75" customHeight="1">
      <c r="B30" s="482" t="str">
        <f>IFERROR(__xludf.DUMMYFUNCTION("""COMPUTED_VALUE"""),"Rockville")</f>
        <v>Rockville</v>
      </c>
      <c r="C30" s="468" t="str">
        <f>IFERROR(__xludf.DUMMYFUNCTION("""COMPUTED_VALUE"""),"0 min 41 sec")</f>
        <v>0 min 41 sec</v>
      </c>
      <c r="D30" s="468">
        <f>IFERROR(__xludf.DUMMYFUNCTION("""COMPUTED_VALUE"""),81.0)</f>
        <v>81</v>
      </c>
      <c r="E30" s="468" t="str">
        <f>IFERROR(__xludf.DUMMYFUNCTION("""COMPUTED_VALUE"""),"2 min 40 sec")</f>
        <v>2 min 40 sec</v>
      </c>
      <c r="F30" s="476">
        <f>IFERROR(__xludf.DUMMYFUNCTION("""COMPUTED_VALUE"""),82.0)</f>
        <v>82</v>
      </c>
      <c r="G30" s="468" t="str">
        <f t="shared" ref="G30:G35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41 sec</v>
      </c>
      <c r="H30" s="483">
        <f t="shared" ref="H30:H35" si="2">ROUND(VALUE(LEFT(G30,FIND(" min",G30)-1)) + VALUE(MID(G30,FIND("min",G30)+4,FIND("sec",G30)-FIND("min",G30)-4))/60, 2)</f>
        <v>1.68</v>
      </c>
      <c r="J30" s="457"/>
      <c r="K30" s="484"/>
      <c r="Y30" s="246"/>
    </row>
    <row r="31" ht="15.75" customHeight="1">
      <c r="B31" s="482" t="str">
        <f>IFERROR(__xludf.DUMMYFUNCTION("""COMPUTED_VALUE"""),"Ballpark")</f>
        <v>Ballpark</v>
      </c>
      <c r="C31" s="468" t="str">
        <f>IFERROR(__xludf.DUMMYFUNCTION("""COMPUTED_VALUE"""),"1 min 13 sec")</f>
        <v>1 min 13 sec</v>
      </c>
      <c r="D31" s="468">
        <f>IFERROR(__xludf.DUMMYFUNCTION("""COMPUTED_VALUE"""),101.0)</f>
        <v>101</v>
      </c>
      <c r="E31" s="468" t="str">
        <f>IFERROR(__xludf.DUMMYFUNCTION("""COMPUTED_VALUE"""),"2 min 08 sec")</f>
        <v>2 min 08 sec</v>
      </c>
      <c r="F31" s="476">
        <f>IFERROR(__xludf.DUMMYFUNCTION("""COMPUTED_VALUE"""),49.0)</f>
        <v>49</v>
      </c>
      <c r="G31" s="468" t="str">
        <f t="shared" si="1"/>
        <v>1 min 31 sec</v>
      </c>
      <c r="H31" s="483">
        <f t="shared" si="2"/>
        <v>1.52</v>
      </c>
      <c r="J31" s="457"/>
      <c r="K31" s="484"/>
      <c r="Y31" s="246"/>
    </row>
    <row r="32" ht="15.75" customHeight="1">
      <c r="B32" s="482" t="str">
        <f>IFERROR(__xludf.DUMMYFUNCTION("""COMPUTED_VALUE"""),"MVT")</f>
        <v>MVT</v>
      </c>
      <c r="C32" s="468" t="str">
        <f>IFERROR(__xludf.DUMMYFUNCTION("""COMPUTED_VALUE"""),"0 min 28 sec")</f>
        <v>0 min 28 sec</v>
      </c>
      <c r="D32" s="468">
        <f>IFERROR(__xludf.DUMMYFUNCTION("""COMPUTED_VALUE"""),193.0)</f>
        <v>193</v>
      </c>
      <c r="E32" s="468" t="str">
        <f>IFERROR(__xludf.DUMMYFUNCTION("""COMPUTED_VALUE"""),"2 min 01 sec")</f>
        <v>2 min 01 sec</v>
      </c>
      <c r="F32" s="476">
        <f>IFERROR(__xludf.DUMMYFUNCTION("""COMPUTED_VALUE"""),174.0)</f>
        <v>174</v>
      </c>
      <c r="G32" s="468" t="str">
        <f t="shared" si="1"/>
        <v>1 min 12 sec</v>
      </c>
      <c r="H32" s="483">
        <f t="shared" si="2"/>
        <v>1.2</v>
      </c>
      <c r="J32" s="457"/>
      <c r="K32" s="484"/>
      <c r="Y32" s="246"/>
    </row>
    <row r="33" ht="15.75" customHeight="1">
      <c r="B33" s="482" t="str">
        <f>IFERROR(__xludf.DUMMYFUNCTION("""COMPUTED_VALUE"""),"National Landing")</f>
        <v>National Landing</v>
      </c>
      <c r="C33" s="468" t="str">
        <f>IFERROR(__xludf.DUMMYFUNCTION("""COMPUTED_VALUE"""),"0 min 15 sec")</f>
        <v>0 min 15 sec</v>
      </c>
      <c r="D33" s="468">
        <f>IFERROR(__xludf.DUMMYFUNCTION("""COMPUTED_VALUE"""),117.0)</f>
        <v>117</v>
      </c>
      <c r="E33" s="468" t="str">
        <f>IFERROR(__xludf.DUMMYFUNCTION("""COMPUTED_VALUE"""),"1 min 52 sec")</f>
        <v>1 min 52 sec</v>
      </c>
      <c r="F33" s="476">
        <f>IFERROR(__xludf.DUMMYFUNCTION("""COMPUTED_VALUE"""),142.0)</f>
        <v>142</v>
      </c>
      <c r="G33" s="468" t="str">
        <f t="shared" si="1"/>
        <v>1 min 8 sec</v>
      </c>
      <c r="H33" s="483">
        <f t="shared" si="2"/>
        <v>1.13</v>
      </c>
      <c r="J33" s="457"/>
      <c r="K33" s="484"/>
      <c r="Y33" s="246"/>
    </row>
    <row r="34" ht="15.75" customHeight="1">
      <c r="B34" s="482" t="str">
        <f>IFERROR(__xludf.DUMMYFUNCTION("""COMPUTED_VALUE"""),"Mosaic")</f>
        <v>Mosaic</v>
      </c>
      <c r="C34" s="468" t="str">
        <f>IFERROR(__xludf.DUMMYFUNCTION("""COMPUTED_VALUE"""),"0 min 27 sec")</f>
        <v>0 min 27 sec</v>
      </c>
      <c r="D34" s="468">
        <f>IFERROR(__xludf.DUMMYFUNCTION("""COMPUTED_VALUE"""),64.0)</f>
        <v>64</v>
      </c>
      <c r="E34" s="468" t="str">
        <f>IFERROR(__xludf.DUMMYFUNCTION("""COMPUTED_VALUE"""),"2 min 07 sec")</f>
        <v>2 min 07 sec</v>
      </c>
      <c r="F34" s="476">
        <f>IFERROR(__xludf.DUMMYFUNCTION("""COMPUTED_VALUE"""),95.0)</f>
        <v>95</v>
      </c>
      <c r="G34" s="468" t="str">
        <f t="shared" si="1"/>
        <v>1 min 27 sec</v>
      </c>
      <c r="H34" s="483">
        <f t="shared" si="2"/>
        <v>1.45</v>
      </c>
      <c r="J34" s="457"/>
      <c r="K34" s="484"/>
      <c r="Y34" s="246"/>
    </row>
    <row r="35" ht="15.75" customHeight="1">
      <c r="B35" s="445" t="str">
        <f>IFERROR(__xludf.DUMMYFUNCTION("""COMPUTED_VALUE"""),"All Stores")</f>
        <v>All Stores</v>
      </c>
      <c r="C35" s="446" t="str">
        <f>IFERROR(__xludf.DUMMYFUNCTION("""COMPUTED_VALUE"""),"0 min 35 sec")</f>
        <v>0 min 35 sec</v>
      </c>
      <c r="D35" s="472">
        <f>IFERROR(__xludf.DUMMYFUNCTION("""COMPUTED_VALUE"""),556.0)</f>
        <v>556</v>
      </c>
      <c r="E35" s="446" t="str">
        <f>IFERROR(__xludf.DUMMYFUNCTION("""COMPUTED_VALUE"""),"2 min 07 sec")</f>
        <v>2 min 07 sec</v>
      </c>
      <c r="F35" s="472">
        <f>IFERROR(__xludf.DUMMYFUNCTION("""COMPUTED_VALUE"""),542.0)</f>
        <v>542</v>
      </c>
      <c r="G35" s="446" t="str">
        <f t="shared" si="1"/>
        <v>1 min 20 sec</v>
      </c>
      <c r="H35" s="485">
        <f t="shared" si="2"/>
        <v>1.33</v>
      </c>
      <c r="J35" s="448"/>
      <c r="K35" s="481"/>
      <c r="Y35" s="246"/>
    </row>
    <row r="36" ht="15.75" customHeight="1">
      <c r="J36" s="449"/>
      <c r="K36" s="449"/>
      <c r="Y36" s="246"/>
    </row>
    <row r="37" ht="15.75" customHeight="1">
      <c r="Y37" s="246"/>
    </row>
    <row r="38" ht="15.75" customHeight="1">
      <c r="Y38" s="246"/>
    </row>
    <row r="39" ht="15.75" customHeight="1">
      <c r="Y39" s="246"/>
    </row>
    <row r="40" ht="15.75" customHeight="1">
      <c r="Y40" s="246"/>
    </row>
    <row r="41" ht="15.75" customHeight="1">
      <c r="Y41" s="246"/>
    </row>
    <row r="42" ht="15.75" customHeight="1">
      <c r="Y42" s="246"/>
    </row>
    <row r="43" ht="15.75" customHeight="1">
      <c r="Y43" s="246"/>
    </row>
    <row r="44" ht="15.75" customHeight="1">
      <c r="Y44" s="246"/>
    </row>
    <row r="45" ht="15.75" customHeight="1">
      <c r="Y45" s="246"/>
    </row>
    <row r="46" ht="15.75" customHeight="1">
      <c r="Y46" s="246"/>
    </row>
    <row r="47" ht="15.75" customHeight="1">
      <c r="Y47" s="246"/>
    </row>
    <row r="48" ht="15.75" customHeight="1">
      <c r="Y48" s="246"/>
    </row>
    <row r="49" ht="15.75" customHeight="1">
      <c r="Y49" s="246"/>
    </row>
    <row r="50" ht="15.75" customHeight="1">
      <c r="Y50" s="246"/>
    </row>
    <row r="51" ht="15.75" customHeight="1">
      <c r="Y51" s="246"/>
    </row>
    <row r="52" ht="15.75" customHeight="1">
      <c r="Y52" s="246"/>
    </row>
    <row r="53" ht="15.75" customHeight="1">
      <c r="Y53" s="246"/>
    </row>
    <row r="54" ht="15.75" customHeight="1">
      <c r="Y54" s="246"/>
    </row>
    <row r="55" ht="15.75" customHeight="1">
      <c r="Y55" s="246"/>
    </row>
    <row r="56" ht="15.75" customHeight="1">
      <c r="Y56" s="246"/>
    </row>
    <row r="57" ht="15.75" customHeight="1">
      <c r="Y57" s="246"/>
    </row>
    <row r="58" ht="15.75" customHeight="1">
      <c r="Y58" s="246"/>
    </row>
    <row r="59" ht="15.75" customHeight="1">
      <c r="Y59" s="246"/>
    </row>
    <row r="60" ht="15.75" customHeight="1">
      <c r="Y60" s="246"/>
    </row>
    <row r="61" ht="15.75" customHeight="1">
      <c r="Y61" s="246"/>
    </row>
    <row r="62" ht="15.75" customHeight="1">
      <c r="Y62" s="246"/>
    </row>
    <row r="63" ht="15.75" customHeight="1">
      <c r="Y63" s="246"/>
    </row>
    <row r="64" ht="15.75" customHeight="1">
      <c r="Y64" s="246"/>
    </row>
    <row r="65" ht="15.75" customHeight="1">
      <c r="Y65" s="246"/>
    </row>
    <row r="66" ht="15.75" customHeight="1">
      <c r="Y66" s="246"/>
    </row>
    <row r="67" ht="15.75" customHeight="1">
      <c r="Y67" s="246"/>
    </row>
    <row r="68" ht="15.75" customHeight="1">
      <c r="Y68" s="246"/>
    </row>
    <row r="69" ht="15.75" customHeight="1">
      <c r="Y69" s="246"/>
    </row>
    <row r="70" ht="15.75" customHeight="1">
      <c r="Y70" s="246"/>
    </row>
    <row r="71" ht="15.75" customHeight="1">
      <c r="Y71" s="246"/>
    </row>
    <row r="72" ht="15.75" customHeight="1">
      <c r="Y72" s="246"/>
    </row>
    <row r="73" ht="15.75" customHeight="1">
      <c r="Y73" s="246"/>
    </row>
    <row r="74" ht="15.75" customHeight="1">
      <c r="Y74" s="246"/>
    </row>
    <row r="75" ht="15.75" customHeight="1">
      <c r="Y75" s="246"/>
    </row>
    <row r="76" ht="15.75" customHeight="1">
      <c r="Y76" s="246"/>
    </row>
    <row r="77" ht="15.75" customHeight="1">
      <c r="Y77" s="246"/>
    </row>
    <row r="78" ht="15.75" customHeight="1">
      <c r="Y78" s="246"/>
    </row>
    <row r="79" ht="15.75" customHeight="1">
      <c r="Y79" s="246"/>
    </row>
    <row r="80" ht="15.75" customHeight="1">
      <c r="Y80" s="246"/>
    </row>
    <row r="81" ht="15.75" customHeight="1">
      <c r="Y81" s="246"/>
    </row>
    <row r="82" ht="15.75" customHeight="1">
      <c r="Y82" s="246"/>
    </row>
    <row r="83" ht="15.75" customHeight="1">
      <c r="Y83" s="246"/>
    </row>
    <row r="84" ht="15.75" customHeight="1">
      <c r="Y84" s="246"/>
    </row>
    <row r="85" ht="15.75" customHeight="1">
      <c r="Y85" s="246"/>
    </row>
    <row r="86" ht="15.75" customHeight="1">
      <c r="Y86" s="246"/>
    </row>
    <row r="87" ht="15.75" customHeight="1">
      <c r="Y87" s="246"/>
    </row>
    <row r="88" ht="15.75" customHeight="1">
      <c r="Y88" s="246"/>
    </row>
    <row r="89" ht="15.75" customHeight="1">
      <c r="Y89" s="246"/>
    </row>
    <row r="90" ht="15.75" customHeight="1">
      <c r="Y90" s="246"/>
    </row>
    <row r="91" ht="15.75" customHeight="1">
      <c r="Y91" s="246"/>
    </row>
    <row r="92" ht="15.75" customHeight="1">
      <c r="Y92" s="246"/>
    </row>
    <row r="93" ht="15.75" customHeight="1">
      <c r="Y93" s="246"/>
    </row>
    <row r="94" ht="15.75" customHeight="1">
      <c r="Y94" s="246"/>
    </row>
    <row r="95" ht="15.75" customHeight="1">
      <c r="Y95" s="246"/>
    </row>
    <row r="96" ht="15.75" customHeight="1">
      <c r="Y96" s="246"/>
    </row>
    <row r="97" ht="15.75" customHeight="1">
      <c r="Y97" s="246"/>
    </row>
    <row r="98" ht="15.75" customHeight="1">
      <c r="Y98" s="246"/>
    </row>
    <row r="99" ht="15.75" customHeight="1">
      <c r="Y99" s="246"/>
    </row>
    <row r="100" ht="15.75" customHeight="1">
      <c r="Y100" s="246"/>
    </row>
    <row r="101" ht="15.75" customHeight="1">
      <c r="Y101" s="246"/>
    </row>
    <row r="102" ht="15.75" customHeight="1">
      <c r="Y102" s="246"/>
    </row>
    <row r="103" ht="15.75" customHeight="1">
      <c r="Y103" s="246"/>
    </row>
    <row r="104" ht="15.75" customHeight="1">
      <c r="Y104" s="246"/>
    </row>
    <row r="105" ht="15.75" customHeight="1">
      <c r="Y105" s="246"/>
    </row>
    <row r="106" ht="15.75" customHeight="1">
      <c r="Y106" s="246"/>
    </row>
    <row r="107" ht="15.75" customHeight="1">
      <c r="Y107" s="246"/>
    </row>
    <row r="108" ht="15.75" customHeight="1">
      <c r="Y108" s="246"/>
    </row>
    <row r="109" ht="15.75" customHeight="1">
      <c r="Y109" s="246"/>
    </row>
    <row r="110" ht="15.75" customHeight="1">
      <c r="Y110" s="246"/>
    </row>
    <row r="111" ht="15.75" customHeight="1">
      <c r="Y111" s="246"/>
    </row>
    <row r="112" ht="15.75" customHeight="1">
      <c r="Y112" s="246"/>
    </row>
    <row r="113" ht="15.75" customHeight="1">
      <c r="Y113" s="246"/>
    </row>
    <row r="114" ht="15.75" customHeight="1">
      <c r="Y114" s="246"/>
    </row>
    <row r="115" ht="15.75" customHeight="1">
      <c r="Y115" s="246"/>
    </row>
    <row r="116" ht="15.75" customHeight="1">
      <c r="Y116" s="246"/>
    </row>
    <row r="117" ht="15.75" customHeight="1">
      <c r="Y117" s="246"/>
    </row>
    <row r="118" ht="15.75" customHeight="1">
      <c r="Y118" s="246"/>
    </row>
    <row r="119" ht="15.75" customHeight="1">
      <c r="Y119" s="246"/>
    </row>
    <row r="120" ht="15.75" customHeight="1">
      <c r="Y120" s="246"/>
    </row>
    <row r="121" ht="15.75" customHeight="1">
      <c r="Y121" s="246"/>
    </row>
    <row r="122" ht="15.75" customHeight="1">
      <c r="Y122" s="246"/>
    </row>
    <row r="123" ht="15.75" customHeight="1">
      <c r="Y123" s="246"/>
    </row>
    <row r="124" ht="15.75" customHeight="1">
      <c r="Y124" s="246"/>
    </row>
    <row r="125" ht="15.75" customHeight="1">
      <c r="Y125" s="246"/>
    </row>
    <row r="126" ht="15.75" customHeight="1">
      <c r="Y126" s="246"/>
    </row>
    <row r="127" ht="15.75" customHeight="1">
      <c r="Y127" s="246"/>
    </row>
    <row r="128" ht="15.75" customHeight="1">
      <c r="Y128" s="246"/>
    </row>
    <row r="129" ht="15.75" customHeight="1">
      <c r="Y129" s="246"/>
    </row>
    <row r="130" ht="15.75" customHeight="1">
      <c r="Y130" s="246"/>
    </row>
    <row r="131" ht="15.75" customHeight="1">
      <c r="Y131" s="246"/>
    </row>
    <row r="132" ht="15.75" customHeight="1">
      <c r="Y132" s="246"/>
    </row>
    <row r="133" ht="15.75" customHeight="1">
      <c r="Y133" s="246"/>
    </row>
    <row r="134" ht="15.75" customHeight="1">
      <c r="Y134" s="246"/>
    </row>
    <row r="135" ht="15.75" customHeight="1">
      <c r="Y135" s="246"/>
    </row>
    <row r="136" ht="15.75" customHeight="1">
      <c r="Y136" s="246"/>
    </row>
    <row r="137" ht="15.75" customHeight="1">
      <c r="Y137" s="246"/>
    </row>
    <row r="138" ht="15.75" customHeight="1">
      <c r="Y138" s="246"/>
    </row>
    <row r="139" ht="15.75" customHeight="1">
      <c r="Y139" s="246"/>
    </row>
    <row r="140" ht="15.75" customHeight="1">
      <c r="Y140" s="246"/>
    </row>
    <row r="141" ht="15.75" customHeight="1">
      <c r="Y141" s="246"/>
    </row>
    <row r="142" ht="15.75" customHeight="1">
      <c r="Y142" s="246"/>
    </row>
    <row r="143" ht="15.75" customHeight="1">
      <c r="Y143" s="246"/>
    </row>
    <row r="144" ht="15.75" customHeight="1">
      <c r="Y144" s="246"/>
    </row>
    <row r="145" ht="15.75" customHeight="1">
      <c r="Y145" s="246"/>
    </row>
    <row r="146" ht="15.75" customHeight="1">
      <c r="Y146" s="246"/>
    </row>
    <row r="147" ht="15.75" customHeight="1">
      <c r="Y147" s="246"/>
    </row>
    <row r="148" ht="15.75" customHeight="1">
      <c r="Y148" s="246"/>
    </row>
    <row r="149" ht="15.75" customHeight="1">
      <c r="Y149" s="246"/>
    </row>
    <row r="150" ht="15.75" customHeight="1">
      <c r="Y150" s="246"/>
    </row>
    <row r="151" ht="15.75" customHeight="1">
      <c r="Y151" s="246"/>
    </row>
    <row r="152" ht="15.75" customHeight="1">
      <c r="Y152" s="246"/>
    </row>
    <row r="153" ht="15.75" customHeight="1">
      <c r="Y153" s="246"/>
    </row>
    <row r="154" ht="15.75" customHeight="1">
      <c r="Y154" s="246"/>
    </row>
    <row r="155" ht="15.75" customHeight="1">
      <c r="Y155" s="246"/>
    </row>
    <row r="156" ht="15.75" customHeight="1">
      <c r="Y156" s="246"/>
    </row>
    <row r="157" ht="15.75" customHeight="1">
      <c r="Y157" s="246"/>
    </row>
    <row r="158" ht="15.75" customHeight="1">
      <c r="Y158" s="246"/>
    </row>
    <row r="159" ht="15.75" customHeight="1">
      <c r="Y159" s="246"/>
    </row>
    <row r="160" ht="15.75" customHeight="1">
      <c r="Y160" s="246"/>
    </row>
    <row r="161" ht="15.75" customHeight="1">
      <c r="Y161" s="246"/>
    </row>
    <row r="162" ht="15.75" customHeight="1">
      <c r="Y162" s="246"/>
    </row>
    <row r="163" ht="15.75" customHeight="1">
      <c r="Y163" s="246"/>
    </row>
    <row r="164" ht="15.75" customHeight="1">
      <c r="Y164" s="246"/>
    </row>
    <row r="165" ht="15.75" customHeight="1">
      <c r="Y165" s="246"/>
    </row>
    <row r="166" ht="15.75" customHeight="1">
      <c r="Y166" s="246"/>
    </row>
    <row r="167" ht="15.75" customHeight="1">
      <c r="Y167" s="246"/>
    </row>
    <row r="168" ht="15.75" customHeight="1">
      <c r="Y168" s="246"/>
    </row>
    <row r="169" ht="15.75" customHeight="1">
      <c r="Y169" s="246"/>
    </row>
    <row r="170" ht="15.75" customHeight="1">
      <c r="Y170" s="246"/>
    </row>
    <row r="171" ht="15.75" customHeight="1">
      <c r="Y171" s="246"/>
    </row>
    <row r="172" ht="15.75" customHeight="1">
      <c r="Y172" s="246"/>
    </row>
    <row r="173" ht="15.75" customHeight="1">
      <c r="Y173" s="246"/>
    </row>
    <row r="174" ht="15.75" customHeight="1">
      <c r="Y174" s="246"/>
    </row>
    <row r="175" ht="15.75" customHeight="1">
      <c r="Y175" s="246"/>
    </row>
    <row r="176" ht="15.75" customHeight="1">
      <c r="Y176" s="246"/>
    </row>
    <row r="177" ht="15.75" customHeight="1">
      <c r="Y177" s="246"/>
    </row>
    <row r="178" ht="15.75" customHeight="1">
      <c r="Y178" s="246"/>
    </row>
    <row r="179" ht="15.75" customHeight="1">
      <c r="Y179" s="246"/>
    </row>
    <row r="180" ht="15.75" customHeight="1">
      <c r="Y180" s="246"/>
    </row>
    <row r="181" ht="15.75" customHeight="1">
      <c r="Y181" s="246"/>
    </row>
    <row r="182" ht="15.75" customHeight="1">
      <c r="Y182" s="246"/>
    </row>
    <row r="183" ht="15.75" customHeight="1">
      <c r="Y183" s="246"/>
    </row>
    <row r="184" ht="15.75" customHeight="1">
      <c r="Y184" s="246"/>
    </row>
    <row r="185" ht="15.75" customHeight="1">
      <c r="Y185" s="246"/>
    </row>
    <row r="186" ht="15.75" customHeight="1">
      <c r="Y186" s="246"/>
    </row>
    <row r="187" ht="15.75" customHeight="1">
      <c r="Y187" s="246"/>
    </row>
    <row r="188" ht="15.75" customHeight="1">
      <c r="Y188" s="246"/>
    </row>
    <row r="189" ht="15.75" customHeight="1">
      <c r="Y189" s="246"/>
    </row>
    <row r="190" ht="15.75" customHeight="1">
      <c r="Y190" s="246"/>
    </row>
    <row r="191" ht="15.75" customHeight="1">
      <c r="Y191" s="246"/>
    </row>
    <row r="192" ht="15.75" customHeight="1">
      <c r="Y192" s="246"/>
    </row>
    <row r="193" ht="15.75" customHeight="1">
      <c r="Y193" s="246"/>
    </row>
    <row r="194" ht="15.75" customHeight="1">
      <c r="Y194" s="246"/>
    </row>
    <row r="195" ht="15.75" customHeight="1">
      <c r="Y195" s="246"/>
    </row>
    <row r="196" ht="15.75" customHeight="1">
      <c r="Y196" s="246"/>
    </row>
    <row r="197" ht="15.75" customHeight="1">
      <c r="Y197" s="246"/>
    </row>
    <row r="198" ht="15.75" customHeight="1">
      <c r="Y198" s="246"/>
    </row>
    <row r="199" ht="15.75" customHeight="1">
      <c r="Y199" s="246"/>
    </row>
    <row r="200" ht="15.75" customHeight="1">
      <c r="Y200" s="246"/>
    </row>
    <row r="201" ht="15.75" customHeight="1">
      <c r="Y201" s="246"/>
    </row>
    <row r="202" ht="15.75" customHeight="1">
      <c r="Y202" s="246"/>
    </row>
    <row r="203" ht="15.75" customHeight="1">
      <c r="Y203" s="246"/>
    </row>
    <row r="204" ht="15.75" customHeight="1">
      <c r="Y204" s="246"/>
    </row>
    <row r="205" ht="15.75" customHeight="1">
      <c r="Y205" s="246"/>
    </row>
    <row r="206" ht="15.75" customHeight="1">
      <c r="Y206" s="246"/>
    </row>
    <row r="207" ht="15.75" customHeight="1">
      <c r="Y207" s="246"/>
    </row>
    <row r="208" ht="15.75" customHeight="1">
      <c r="Y208" s="246"/>
    </row>
    <row r="209" ht="15.75" customHeight="1">
      <c r="Y209" s="246"/>
    </row>
    <row r="210" ht="15.75" customHeight="1">
      <c r="Y210" s="246"/>
    </row>
    <row r="211" ht="15.75" customHeight="1">
      <c r="Y211" s="246"/>
    </row>
    <row r="212" ht="15.75" customHeight="1">
      <c r="Y212" s="246"/>
    </row>
    <row r="213" ht="15.75" customHeight="1">
      <c r="Y213" s="246"/>
    </row>
    <row r="214" ht="15.75" customHeight="1">
      <c r="Y214" s="246"/>
    </row>
    <row r="215" ht="15.75" customHeight="1">
      <c r="Y215" s="246"/>
    </row>
    <row r="216" ht="15.75" customHeight="1">
      <c r="Y216" s="246"/>
    </row>
    <row r="217" ht="15.75" customHeight="1">
      <c r="Y217" s="246"/>
    </row>
    <row r="218" ht="15.75" customHeight="1">
      <c r="Y218" s="246"/>
    </row>
    <row r="219" ht="15.75" customHeight="1">
      <c r="Y219" s="246"/>
    </row>
    <row r="220" ht="15.75" customHeight="1">
      <c r="Y220" s="246"/>
    </row>
    <row r="221" ht="15.75" customHeight="1">
      <c r="Y221" s="246"/>
    </row>
    <row r="222" ht="15.75" customHeight="1">
      <c r="Y222" s="246"/>
    </row>
    <row r="223" ht="15.75" customHeight="1">
      <c r="Y223" s="246"/>
    </row>
    <row r="224" ht="15.75" customHeight="1">
      <c r="Y224" s="246"/>
    </row>
    <row r="225" ht="15.75" customHeight="1">
      <c r="Y225" s="246"/>
    </row>
    <row r="226" ht="15.75" customHeight="1">
      <c r="Y226" s="246"/>
    </row>
    <row r="227" ht="15.75" customHeight="1">
      <c r="Y227" s="246"/>
    </row>
    <row r="228" ht="15.75" customHeight="1">
      <c r="Y228" s="246"/>
    </row>
    <row r="229" ht="15.75" customHeight="1">
      <c r="Y229" s="246"/>
    </row>
    <row r="230" ht="15.75" customHeight="1">
      <c r="Y230" s="246"/>
    </row>
    <row r="231" ht="15.75" customHeight="1">
      <c r="Y231" s="246"/>
    </row>
    <row r="232" ht="15.75" customHeight="1">
      <c r="Y232" s="246"/>
    </row>
    <row r="233" ht="15.75" customHeight="1">
      <c r="Y233" s="246"/>
    </row>
    <row r="234" ht="15.75" customHeight="1">
      <c r="Y234" s="246"/>
    </row>
    <row r="235" ht="15.75" customHeight="1">
      <c r="Y235" s="246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49"/>
      <c r="C1" s="449"/>
      <c r="D1" s="449"/>
      <c r="E1" s="449"/>
      <c r="F1" s="449"/>
      <c r="G1" s="449"/>
    </row>
    <row r="2">
      <c r="B2" s="445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46" t="str">
        <f>IFERROR(__xludf.DUMMYFUNCTION("""COMPUTED_VALUE"""),"Sales")</f>
        <v>Sales</v>
      </c>
      <c r="D2" s="446" t="str">
        <f>IFERROR(__xludf.DUMMYFUNCTION("""COMPUTED_VALUE"""),"Same PD LY")</f>
        <v>Same PD LY</v>
      </c>
      <c r="E2" s="446" t="str">
        <f>IFERROR(__xludf.DUMMYFUNCTION("""COMPUTED_VALUE"""),"Dollar Change")</f>
        <v>Dollar Change</v>
      </c>
      <c r="F2" s="447" t="str">
        <f>IFERROR(__xludf.DUMMYFUNCTION("""COMPUTED_VALUE"""),"Percent Change")</f>
        <v>Percent Change</v>
      </c>
      <c r="G2" s="446" t="str">
        <f>IFERROR(__xludf.DUMMYFUNCTION("""COMPUTED_VALUE"""),"PD Budget")</f>
        <v>PD Budget</v>
      </c>
      <c r="H2" s="446" t="str">
        <f>IFERROR(__xludf.DUMMYFUNCTION("""COMPUTED_VALUE"""),"Var to Bud +/-")</f>
        <v>Var to Bud +/-</v>
      </c>
      <c r="I2" s="446" t="str">
        <f>IFERROR(__xludf.DUMMYFUNCTION("""COMPUTED_VALUE"""),"Var to Bud ")</f>
        <v>Var to Bud </v>
      </c>
      <c r="J2" s="446" t="str">
        <f>IFERROR(__xludf.DUMMYFUNCTION("""COMPUTED_VALUE"""),"Total Labor ")</f>
        <v>Total Labor </v>
      </c>
      <c r="K2" s="446" t="str">
        <f>IFERROR(__xludf.DUMMYFUNCTION("""COMPUTED_VALUE"""),"Bud Labor ")</f>
        <v>Bud Labor </v>
      </c>
      <c r="L2" s="446" t="str">
        <f>IFERROR(__xludf.DUMMYFUNCTION("""COMPUTED_VALUE"""),"Var Lbr to Bud")</f>
        <v>Var Lbr to Bud</v>
      </c>
      <c r="M2" s="446" t="str">
        <f>IFERROR(__xludf.DUMMYFUNCTION("""COMPUTED_VALUE"""),"Total COGS")</f>
        <v>Total COGS</v>
      </c>
      <c r="N2" s="464" t="str">
        <f>IFERROR(__xludf.DUMMYFUNCTION("""COMPUTED_VALUE"""),"Bud COGS")</f>
        <v>Bud COGS</v>
      </c>
      <c r="O2" s="446" t="str">
        <f>IFERROR(__xludf.DUMMYFUNCTION("""COMPUTED_VALUE"""),"Var COGS to Bud")</f>
        <v>Var COGS to Bud</v>
      </c>
      <c r="P2" s="446" t="str">
        <f>IFERROR(__xludf.DUMMYFUNCTION("""COMPUTED_VALUE"""),"Total PC ")</f>
        <v>Total PC </v>
      </c>
      <c r="Q2" s="446" t="str">
        <f>IFERROR(__xludf.DUMMYFUNCTION("""COMPUTED_VALUE"""),"Bud PC")</f>
        <v>Bud PC</v>
      </c>
      <c r="R2" s="446" t="str">
        <f>IFERROR(__xludf.DUMMYFUNCTION("""COMPUTED_VALUE"""),"Var PC to Bud")</f>
        <v>Var PC to Bud</v>
      </c>
      <c r="S2" s="446" t="s">
        <v>147</v>
      </c>
      <c r="T2" s="446" t="s">
        <v>148</v>
      </c>
      <c r="U2" s="446" t="s">
        <v>149</v>
      </c>
      <c r="V2" s="446" t="s">
        <v>150</v>
      </c>
      <c r="W2" s="486"/>
      <c r="X2" s="449"/>
      <c r="Y2" s="487"/>
      <c r="Z2" s="449"/>
      <c r="AA2" s="449"/>
    </row>
    <row r="3">
      <c r="B3" s="488" t="str">
        <f>IFERROR(__xludf.DUMMYFUNCTION("""COMPUTED_VALUE"""),"Ballpark")</f>
        <v>Ballpark</v>
      </c>
      <c r="C3" s="451">
        <f>IFERROR(__xludf.DUMMYFUNCTION("""COMPUTED_VALUE"""),21173.0)</f>
        <v>21173</v>
      </c>
      <c r="D3" s="451">
        <f>IFERROR(__xludf.DUMMYFUNCTION("""COMPUTED_VALUE"""),20096.0)</f>
        <v>20096</v>
      </c>
      <c r="E3" s="452">
        <f>IFERROR(__xludf.DUMMYFUNCTION("""COMPUTED_VALUE"""),1077.0)</f>
        <v>1077</v>
      </c>
      <c r="F3" s="489">
        <f>IFERROR(__xludf.DUMMYFUNCTION("""COMPUTED_VALUE"""),0.05359275477707006)</f>
        <v>0.05359275478</v>
      </c>
      <c r="G3" s="451">
        <f>IFERROR(__xludf.DUMMYFUNCTION("""COMPUTED_VALUE"""),23288.46)</f>
        <v>23288.46</v>
      </c>
      <c r="H3" s="452">
        <f>IFERROR(__xludf.DUMMYFUNCTION("""COMPUTED_VALUE"""),-2115.459999999999)</f>
        <v>-2115.46</v>
      </c>
      <c r="I3" s="489">
        <f>IFERROR(__xludf.DUMMYFUNCTION("""COMPUTED_VALUE"""),-0.09083726446488945)</f>
        <v>-0.09083726446</v>
      </c>
      <c r="J3" s="454">
        <f>IFERROR(__xludf.DUMMYFUNCTION("""COMPUTED_VALUE"""),0.276)</f>
        <v>0.276</v>
      </c>
      <c r="K3" s="454">
        <f>IFERROR(__xludf.DUMMYFUNCTION("""COMPUTED_VALUE"""),0.302)</f>
        <v>0.302</v>
      </c>
      <c r="L3" s="455">
        <f>IFERROR(__xludf.DUMMYFUNCTION("""COMPUTED_VALUE"""),-0.025999999999999968)</f>
        <v>-0.026</v>
      </c>
      <c r="M3" s="456">
        <f>IFERROR(__xludf.DUMMYFUNCTION("""COMPUTED_VALUE"""),0.278)</f>
        <v>0.278</v>
      </c>
      <c r="N3" s="454">
        <f>IFERROR(__xludf.DUMMYFUNCTION("""COMPUTED_VALUE"""),0.264)</f>
        <v>0.264</v>
      </c>
      <c r="O3" s="453">
        <f>IFERROR(__xludf.DUMMYFUNCTION("""COMPUTED_VALUE"""),0.014000000000000012)</f>
        <v>0.014</v>
      </c>
      <c r="P3" s="454">
        <f>IFERROR(__xludf.DUMMYFUNCTION("""COMPUTED_VALUE"""),0.554)</f>
        <v>0.554</v>
      </c>
      <c r="Q3" s="454">
        <f>IFERROR(__xludf.DUMMYFUNCTION("""COMPUTED_VALUE"""),0.5660000000000001)</f>
        <v>0.566</v>
      </c>
      <c r="R3" s="453">
        <f>IFERROR(__xludf.DUMMYFUNCTION("""COMPUTED_VALUE"""),-0.01200000000000001)</f>
        <v>-0.012</v>
      </c>
      <c r="S3" s="490" t="str">
        <f>IFERROR(__xludf.DUMMYFUNCTION("IMPORTRANGE(""https://docs.google.com/spreadsheets/d/1rvSw8TokJxxMPNo9zCeN0TVGCwqWJYqsUgV1Y381wpc/edit?gid=1529235844#gid=1529235844"",""Profit and Loss_Sas_BP!Q387"")"),"")</f>
        <v/>
      </c>
      <c r="T3" s="490">
        <f>IFERROR(__xludf.DUMMYFUNCTION("IMPORTRANGE(""https://docs.google.com/spreadsheets/d/1rvSw8TokJxxMPNo9zCeN0TVGCwqWJYqsUgV1Y381wpc/edit?gid=1529235844#gid=1529235844"",""Profit and Loss_Sas_BP!AA387"")"),0.0097)</f>
        <v>0.0097</v>
      </c>
      <c r="U3" s="490">
        <f t="shared" ref="U3:U8" si="1">S3-T3</f>
        <v>-0.0097</v>
      </c>
      <c r="V3" s="491">
        <f t="shared" ref="V3:V8" si="2">U3/T3</f>
        <v>-1</v>
      </c>
      <c r="W3" s="448"/>
      <c r="X3" s="448"/>
      <c r="Y3" s="481"/>
      <c r="Z3" s="449"/>
      <c r="AA3" s="486"/>
    </row>
    <row r="4">
      <c r="B4" s="488" t="str">
        <f>IFERROR(__xludf.DUMMYFUNCTION("""COMPUTED_VALUE"""),"Mosaic")</f>
        <v>Mosaic</v>
      </c>
      <c r="C4" s="451">
        <f>IFERROR(__xludf.DUMMYFUNCTION("""COMPUTED_VALUE"""),28281.0)</f>
        <v>28281</v>
      </c>
      <c r="D4" s="451">
        <f>IFERROR(__xludf.DUMMYFUNCTION("""COMPUTED_VALUE"""),28529.0)</f>
        <v>28529</v>
      </c>
      <c r="E4" s="452">
        <f>IFERROR(__xludf.DUMMYFUNCTION("""COMPUTED_VALUE"""),-248.0)</f>
        <v>-248</v>
      </c>
      <c r="F4" s="489">
        <f>IFERROR(__xludf.DUMMYFUNCTION("""COMPUTED_VALUE"""),-0.008692908969820183)</f>
        <v>-0.00869290897</v>
      </c>
      <c r="G4" s="451">
        <f>IFERROR(__xludf.DUMMYFUNCTION("""COMPUTED_VALUE"""),35253.97)</f>
        <v>35253.97</v>
      </c>
      <c r="H4" s="452">
        <f>IFERROR(__xludf.DUMMYFUNCTION("""COMPUTED_VALUE"""),-6972.970000000001)</f>
        <v>-6972.97</v>
      </c>
      <c r="I4" s="489">
        <f>IFERROR(__xludf.DUMMYFUNCTION("""COMPUTED_VALUE"""),-0.19779247557083646)</f>
        <v>-0.1977924756</v>
      </c>
      <c r="J4" s="454">
        <f>IFERROR(__xludf.DUMMYFUNCTION("""COMPUTED_VALUE"""),0.264)</f>
        <v>0.264</v>
      </c>
      <c r="K4" s="454">
        <f>IFERROR(__xludf.DUMMYFUNCTION("""COMPUTED_VALUE"""),0.229)</f>
        <v>0.229</v>
      </c>
      <c r="L4" s="455">
        <f>IFERROR(__xludf.DUMMYFUNCTION("""COMPUTED_VALUE"""),0.035)</f>
        <v>0.035</v>
      </c>
      <c r="M4" s="456">
        <f>IFERROR(__xludf.DUMMYFUNCTION("""COMPUTED_VALUE"""),0.293)</f>
        <v>0.293</v>
      </c>
      <c r="N4" s="454">
        <f>IFERROR(__xludf.DUMMYFUNCTION("""COMPUTED_VALUE"""),0.267)</f>
        <v>0.267</v>
      </c>
      <c r="O4" s="453">
        <f>IFERROR(__xludf.DUMMYFUNCTION("""COMPUTED_VALUE"""),0.025999999999999968)</f>
        <v>0.026</v>
      </c>
      <c r="P4" s="454">
        <f>IFERROR(__xludf.DUMMYFUNCTION("""COMPUTED_VALUE"""),0.5569999999999999)</f>
        <v>0.557</v>
      </c>
      <c r="Q4" s="454">
        <f>IFERROR(__xludf.DUMMYFUNCTION("""COMPUTED_VALUE"""),0.496)</f>
        <v>0.496</v>
      </c>
      <c r="R4" s="453">
        <f>IFERROR(__xludf.DUMMYFUNCTION("""COMPUTED_VALUE"""),0.06099999999999994)</f>
        <v>0.061</v>
      </c>
      <c r="S4" s="490" t="str">
        <f>IFERROR(__xludf.DUMMYFUNCTION("IMPORTRANGE(""https://docs.google.com/spreadsheets/d/1rvSw8TokJxxMPNo9zCeN0TVGCwqWJYqsUgV1Y381wpc/edit?gid=1529235844#gid=1529235844"",""Profit and Loss_Sas_MO!Q387"")"),"")</f>
        <v/>
      </c>
      <c r="T4" s="490">
        <f>IFERROR(__xludf.DUMMYFUNCTION("IMPORTRANGE(""https://docs.google.com/spreadsheets/d/1rvSw8TokJxxMPNo9zCeN0TVGCwqWJYqsUgV1Y381wpc/edit?gid=1529235844#gid=1529235844"",""Profit and Loss_Sas_MO!AA387"")"),0.0076)</f>
        <v>0.0076</v>
      </c>
      <c r="U4" s="490">
        <f t="shared" si="1"/>
        <v>-0.0076</v>
      </c>
      <c r="V4" s="491">
        <f t="shared" si="2"/>
        <v>-1</v>
      </c>
      <c r="W4" s="457"/>
      <c r="X4" s="492"/>
      <c r="Y4" s="484"/>
      <c r="Z4" s="449"/>
      <c r="AA4" s="449"/>
    </row>
    <row r="5">
      <c r="B5" s="488" t="str">
        <f>IFERROR(__xludf.DUMMYFUNCTION("""COMPUTED_VALUE"""),"MVT")</f>
        <v>MVT</v>
      </c>
      <c r="C5" s="451">
        <f>IFERROR(__xludf.DUMMYFUNCTION("""COMPUTED_VALUE"""),34456.0)</f>
        <v>34456</v>
      </c>
      <c r="D5" s="451">
        <f>IFERROR(__xludf.DUMMYFUNCTION("""COMPUTED_VALUE"""),40128.0)</f>
        <v>40128</v>
      </c>
      <c r="E5" s="452">
        <f>IFERROR(__xludf.DUMMYFUNCTION("""COMPUTED_VALUE"""),-5672.0)</f>
        <v>-5672</v>
      </c>
      <c r="F5" s="489">
        <f>IFERROR(__xludf.DUMMYFUNCTION("""COMPUTED_VALUE"""),-0.14134768740031897)</f>
        <v>-0.1413476874</v>
      </c>
      <c r="G5" s="451">
        <f>IFERROR(__xludf.DUMMYFUNCTION("""COMPUTED_VALUE"""),48123.89)</f>
        <v>48123.89</v>
      </c>
      <c r="H5" s="452">
        <f>IFERROR(__xludf.DUMMYFUNCTION("""COMPUTED_VALUE"""),-13667.89)</f>
        <v>-13667.89</v>
      </c>
      <c r="I5" s="489">
        <f>IFERROR(__xludf.DUMMYFUNCTION("""COMPUTED_VALUE"""),-0.2840146546756715)</f>
        <v>-0.2840146547</v>
      </c>
      <c r="J5" s="454">
        <f>IFERROR(__xludf.DUMMYFUNCTION("""COMPUTED_VALUE"""),0.221)</f>
        <v>0.221</v>
      </c>
      <c r="K5" s="454">
        <f>IFERROR(__xludf.DUMMYFUNCTION("""COMPUTED_VALUE"""),0.242)</f>
        <v>0.242</v>
      </c>
      <c r="L5" s="455">
        <f>IFERROR(__xludf.DUMMYFUNCTION("""COMPUTED_VALUE"""),-0.02099999999999999)</f>
        <v>-0.021</v>
      </c>
      <c r="M5" s="456">
        <f>IFERROR(__xludf.DUMMYFUNCTION("""COMPUTED_VALUE"""),0.261)</f>
        <v>0.261</v>
      </c>
      <c r="N5" s="454">
        <f>IFERROR(__xludf.DUMMYFUNCTION("""COMPUTED_VALUE"""),0.254)</f>
        <v>0.254</v>
      </c>
      <c r="O5" s="453">
        <f>IFERROR(__xludf.DUMMYFUNCTION("""COMPUTED_VALUE"""),0.007000000000000006)</f>
        <v>0.007</v>
      </c>
      <c r="P5" s="454">
        <f>IFERROR(__xludf.DUMMYFUNCTION("""COMPUTED_VALUE"""),0.482)</f>
        <v>0.482</v>
      </c>
      <c r="Q5" s="454">
        <f>IFERROR(__xludf.DUMMYFUNCTION("""COMPUTED_VALUE"""),0.496)</f>
        <v>0.496</v>
      </c>
      <c r="R5" s="453">
        <f>IFERROR(__xludf.DUMMYFUNCTION("""COMPUTED_VALUE"""),-0.014000000000000012)</f>
        <v>-0.014</v>
      </c>
      <c r="S5" s="490" t="str">
        <f>IFERROR(__xludf.DUMMYFUNCTION("IMPORTRANGE(""https://docs.google.com/spreadsheets/d/1rvSw8TokJxxMPNo9zCeN0TVGCwqWJYqsUgV1Y381wpc/edit?gid=1529235844#gid=1529235844"",""Profit and Loss_Sas_MVT!Q387"")"),"")</f>
        <v/>
      </c>
      <c r="T5" s="490">
        <f>IFERROR(__xludf.DUMMYFUNCTION("IMPORTRANGE(""https://docs.google.com/spreadsheets/d/1rvSw8TokJxxMPNo9zCeN0TVGCwqWJYqsUgV1Y381wpc/edit?gid=1529235844#gid=1529235844"",""Profit and Loss_Sas_MVT!AA387"")"),0.0074)</f>
        <v>0.0074</v>
      </c>
      <c r="U5" s="490">
        <f t="shared" si="1"/>
        <v>-0.0074</v>
      </c>
      <c r="V5" s="491">
        <f t="shared" si="2"/>
        <v>-1</v>
      </c>
      <c r="W5" s="457"/>
      <c r="X5" s="492"/>
      <c r="Y5" s="484"/>
      <c r="Z5" s="449"/>
      <c r="AA5" s="449"/>
    </row>
    <row r="6">
      <c r="B6" s="488" t="str">
        <f>IFERROR(__xludf.DUMMYFUNCTION("""COMPUTED_VALUE"""),"National Landing")</f>
        <v>National Landing</v>
      </c>
      <c r="C6" s="451">
        <f>IFERROR(__xludf.DUMMYFUNCTION("""COMPUTED_VALUE"""),26497.0)</f>
        <v>26497</v>
      </c>
      <c r="D6" s="451">
        <f>IFERROR(__xludf.DUMMYFUNCTION("""COMPUTED_VALUE"""),24342.0)</f>
        <v>24342</v>
      </c>
      <c r="E6" s="452">
        <f>IFERROR(__xludf.DUMMYFUNCTION("""COMPUTED_VALUE"""),2155.0)</f>
        <v>2155</v>
      </c>
      <c r="F6" s="489">
        <f>IFERROR(__xludf.DUMMYFUNCTION("""COMPUTED_VALUE"""),0.08853011256264892)</f>
        <v>0.08853011256</v>
      </c>
      <c r="G6" s="451">
        <f>IFERROR(__xludf.DUMMYFUNCTION("""COMPUTED_VALUE"""),23491.97)</f>
        <v>23491.97</v>
      </c>
      <c r="H6" s="452">
        <f>IFERROR(__xludf.DUMMYFUNCTION("""COMPUTED_VALUE"""),3005.029999999999)</f>
        <v>3005.03</v>
      </c>
      <c r="I6" s="489">
        <f>IFERROR(__xludf.DUMMYFUNCTION("""COMPUTED_VALUE"""),0.1279173266439553)</f>
        <v>0.1279173266</v>
      </c>
      <c r="J6" s="454">
        <f>IFERROR(__xludf.DUMMYFUNCTION("""COMPUTED_VALUE"""),0.272)</f>
        <v>0.272</v>
      </c>
      <c r="K6" s="454">
        <f>IFERROR(__xludf.DUMMYFUNCTION("""COMPUTED_VALUE"""),0.302)</f>
        <v>0.302</v>
      </c>
      <c r="L6" s="455">
        <f>IFERROR(__xludf.DUMMYFUNCTION("""COMPUTED_VALUE"""),-0.02999999999999997)</f>
        <v>-0.03</v>
      </c>
      <c r="M6" s="456">
        <f>IFERROR(__xludf.DUMMYFUNCTION("""COMPUTED_VALUE"""),0.274)</f>
        <v>0.274</v>
      </c>
      <c r="N6" s="454">
        <f>IFERROR(__xludf.DUMMYFUNCTION("""COMPUTED_VALUE"""),0.264)</f>
        <v>0.264</v>
      </c>
      <c r="O6" s="453">
        <f>IFERROR(__xludf.DUMMYFUNCTION("""COMPUTED_VALUE"""),0.010000000000000009)</f>
        <v>0.01</v>
      </c>
      <c r="P6" s="454">
        <f>IFERROR(__xludf.DUMMYFUNCTION("""COMPUTED_VALUE"""),0.546)</f>
        <v>0.546</v>
      </c>
      <c r="Q6" s="454">
        <f>IFERROR(__xludf.DUMMYFUNCTION("""COMPUTED_VALUE"""),0.5660000000000001)</f>
        <v>0.566</v>
      </c>
      <c r="R6" s="453">
        <f>IFERROR(__xludf.DUMMYFUNCTION("""COMPUTED_VALUE"""),-0.020000000000000018)</f>
        <v>-0.02</v>
      </c>
      <c r="S6" s="490" t="str">
        <f>IFERROR(__xludf.DUMMYFUNCTION("IMPORTRANGE(""https://docs.google.com/spreadsheets/d/1rvSw8TokJxxMPNo9zCeN0TVGCwqWJYqsUgV1Y381wpc/edit?gid=1529235844#gid=1529235844"",""Profit and Loss_Sas_NL!Q387"")"),"")</f>
        <v/>
      </c>
      <c r="T6" s="490">
        <f>IFERROR(__xludf.DUMMYFUNCTION("IMPORTRANGE(""https://docs.google.com/spreadsheets/d/1rvSw8TokJxxMPNo9zCeN0TVGCwqWJYqsUgV1Y381wpc/edit?gid=1529235844#gid=1529235844"",""Profit and Loss_Sas_NL!AA387"")"),0.0105)</f>
        <v>0.0105</v>
      </c>
      <c r="U6" s="490">
        <f t="shared" si="1"/>
        <v>-0.0105</v>
      </c>
      <c r="V6" s="491">
        <f t="shared" si="2"/>
        <v>-1</v>
      </c>
      <c r="W6" s="457"/>
      <c r="X6" s="492"/>
      <c r="Y6" s="484"/>
      <c r="Z6" s="449"/>
      <c r="AA6" s="449"/>
    </row>
    <row r="7">
      <c r="B7" s="488" t="str">
        <f>IFERROR(__xludf.DUMMYFUNCTION("""COMPUTED_VALUE"""),"Rockville")</f>
        <v>Rockville</v>
      </c>
      <c r="C7" s="451">
        <f>IFERROR(__xludf.DUMMYFUNCTION("""COMPUTED_VALUE"""),28257.0)</f>
        <v>28257</v>
      </c>
      <c r="D7" s="451">
        <f>IFERROR(__xludf.DUMMYFUNCTION("""COMPUTED_VALUE"""),34372.0)</f>
        <v>34372</v>
      </c>
      <c r="E7" s="452">
        <f>IFERROR(__xludf.DUMMYFUNCTION("""COMPUTED_VALUE"""),-6115.0)</f>
        <v>-6115</v>
      </c>
      <c r="F7" s="489">
        <f>IFERROR(__xludf.DUMMYFUNCTION("""COMPUTED_VALUE"""),-0.17790643547073198)</f>
        <v>-0.1779064355</v>
      </c>
      <c r="G7" s="451">
        <f>IFERROR(__xludf.DUMMYFUNCTION("""COMPUTED_VALUE"""),31399.29)</f>
        <v>31399.29</v>
      </c>
      <c r="H7" s="452">
        <f>IFERROR(__xludf.DUMMYFUNCTION("""COMPUTED_VALUE"""),-3142.290000000001)</f>
        <v>-3142.29</v>
      </c>
      <c r="I7" s="489">
        <f>IFERROR(__xludf.DUMMYFUNCTION("""COMPUTED_VALUE"""),-0.10007519278302156)</f>
        <v>-0.1000751928</v>
      </c>
      <c r="J7" s="454">
        <f>IFERROR(__xludf.DUMMYFUNCTION("""COMPUTED_VALUE"""),0.26)</f>
        <v>0.26</v>
      </c>
      <c r="K7" s="454">
        <f>IFERROR(__xludf.DUMMYFUNCTION("""COMPUTED_VALUE"""),0.274)</f>
        <v>0.274</v>
      </c>
      <c r="L7" s="455">
        <f>IFERROR(__xludf.DUMMYFUNCTION("""COMPUTED_VALUE"""),-0.014000000000000012)</f>
        <v>-0.014</v>
      </c>
      <c r="M7" s="456">
        <f>IFERROR(__xludf.DUMMYFUNCTION("""COMPUTED_VALUE"""),0.278)</f>
        <v>0.278</v>
      </c>
      <c r="N7" s="454">
        <f>IFERROR(__xludf.DUMMYFUNCTION("""COMPUTED_VALUE"""),0.267)</f>
        <v>0.267</v>
      </c>
      <c r="O7" s="453">
        <f>IFERROR(__xludf.DUMMYFUNCTION("""COMPUTED_VALUE"""),0.01100000000000001)</f>
        <v>0.011</v>
      </c>
      <c r="P7" s="454">
        <f>IFERROR(__xludf.DUMMYFUNCTION("""COMPUTED_VALUE"""),0.538)</f>
        <v>0.538</v>
      </c>
      <c r="Q7" s="454">
        <f>IFERROR(__xludf.DUMMYFUNCTION("""COMPUTED_VALUE"""),0.541)</f>
        <v>0.541</v>
      </c>
      <c r="R7" s="453">
        <f>IFERROR(__xludf.DUMMYFUNCTION("""COMPUTED_VALUE"""),-0.0030000000000000027)</f>
        <v>-0.003</v>
      </c>
      <c r="S7" s="490" t="str">
        <f>IFERROR(__xludf.DUMMYFUNCTION("IMPORTRANGE(""https://docs.google.com/spreadsheets/d/1rvSw8TokJxxMPNo9zCeN0TVGCwqWJYqsUgV1Y381wpc/edit?gid=1529235844#gid=1529235844"",""Profit and Loss_Sas_RV!Q387"")"),"")</f>
        <v/>
      </c>
      <c r="T7" s="490">
        <f>IFERROR(__xludf.DUMMYFUNCTION("IMPORTRANGE(""https://docs.google.com/spreadsheets/d/1rvSw8TokJxxMPNo9zCeN0TVGCwqWJYqsUgV1Y381wpc/edit?gid=1529235844#gid=1529235844"",""Profit and Loss_Sas_RV!AA387"")"),0.0079)</f>
        <v>0.0079</v>
      </c>
      <c r="U7" s="490">
        <f t="shared" si="1"/>
        <v>-0.0079</v>
      </c>
      <c r="V7" s="491">
        <f t="shared" si="2"/>
        <v>-1</v>
      </c>
      <c r="W7" s="457"/>
      <c r="X7" s="492"/>
      <c r="Y7" s="484"/>
      <c r="Z7" s="449"/>
      <c r="AA7" s="449"/>
    </row>
    <row r="8">
      <c r="B8" s="459" t="str">
        <f>IFERROR(__xludf.DUMMYFUNCTION("""COMPUTED_VALUE"""),"Totals")</f>
        <v>Totals</v>
      </c>
      <c r="C8" s="460">
        <f>IFERROR(__xludf.DUMMYFUNCTION("""COMPUTED_VALUE"""),138664.0)</f>
        <v>138664</v>
      </c>
      <c r="D8" s="460">
        <f>IFERROR(__xludf.DUMMYFUNCTION("""COMPUTED_VALUE"""),147467.0)</f>
        <v>147467</v>
      </c>
      <c r="E8" s="461">
        <f>IFERROR(__xludf.DUMMYFUNCTION("""COMPUTED_VALUE"""),-8803.0)</f>
        <v>-8803</v>
      </c>
      <c r="F8" s="447">
        <f>IFERROR(__xludf.DUMMYFUNCTION("""COMPUTED_VALUE"""),-0.05969471135915154)</f>
        <v>-0.05969471136</v>
      </c>
      <c r="G8" s="460">
        <f>IFERROR(__xludf.DUMMYFUNCTION("""COMPUTED_VALUE"""),161557.58000000002)</f>
        <v>161557.58</v>
      </c>
      <c r="H8" s="462">
        <f>IFERROR(__xludf.DUMMYFUNCTION("""COMPUTED_VALUE"""),-22893.58)</f>
        <v>-22893.58</v>
      </c>
      <c r="I8" s="447">
        <f>IFERROR(__xludf.DUMMYFUNCTION("""COMPUTED_VALUE"""),-0.14170539073437471)</f>
        <v>-0.1417053907</v>
      </c>
      <c r="J8" s="463">
        <f>IFERROR(__xludf.DUMMYFUNCTION("""COMPUTED_VALUE"""),0.253)</f>
        <v>0.253</v>
      </c>
      <c r="K8" s="464">
        <f>IFERROR(__xludf.DUMMYFUNCTION("""COMPUTED_VALUE"""),0.263)</f>
        <v>0.263</v>
      </c>
      <c r="L8" s="465">
        <f>IFERROR(__xludf.DUMMYFUNCTION("""COMPUTED_VALUE"""),-0.010000000000000009)</f>
        <v>-0.01</v>
      </c>
      <c r="M8" s="463">
        <f>IFERROR(__xludf.DUMMYFUNCTION("""COMPUTED_VALUE"""),0.274)</f>
        <v>0.274</v>
      </c>
      <c r="N8" s="464">
        <f>IFERROR(__xludf.DUMMYFUNCTION("""COMPUTED_VALUE"""),0.262)</f>
        <v>0.262</v>
      </c>
      <c r="O8" s="447">
        <f>IFERROR(__xludf.DUMMYFUNCTION("""COMPUTED_VALUE"""),0.01200000000000001)</f>
        <v>0.012</v>
      </c>
      <c r="P8" s="464">
        <f>IFERROR(__xludf.DUMMYFUNCTION("""COMPUTED_VALUE"""),0.527)</f>
        <v>0.527</v>
      </c>
      <c r="Q8" s="464">
        <f>IFERROR(__xludf.DUMMYFUNCTION("""COMPUTED_VALUE"""),0.525)</f>
        <v>0.525</v>
      </c>
      <c r="R8" s="447">
        <f>IFERROR(__xludf.DUMMYFUNCTION("""COMPUTED_VALUE"""),0.0020000000000000018)</f>
        <v>0.002</v>
      </c>
      <c r="S8" s="462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62">
        <f>IFERROR(__xludf.DUMMYFUNCTION("IMPORTRANGE(""https://docs.google.com/spreadsheets/d/1rvSw8TokJxxMPNo9zCeN0TVGCwqWJYqsUgV1Y381wpc/edit?gid=1529235844#gid=1529235844"",""Profit and Loss_Sas_Overall!AA387"")"),0.0084)</f>
        <v>0.0084</v>
      </c>
      <c r="U8" s="462">
        <f t="shared" si="1"/>
        <v>-0.0084</v>
      </c>
      <c r="V8" s="447">
        <f t="shared" si="2"/>
        <v>-1</v>
      </c>
      <c r="W8" s="457"/>
      <c r="X8" s="492"/>
      <c r="Y8" s="484"/>
      <c r="Z8" s="449"/>
      <c r="AA8" s="449"/>
    </row>
    <row r="9">
      <c r="B9" s="449"/>
      <c r="C9" s="449"/>
      <c r="D9" s="449"/>
      <c r="E9" s="449"/>
      <c r="F9" s="449"/>
      <c r="G9" s="449"/>
      <c r="U9" s="449"/>
      <c r="V9" s="449"/>
      <c r="W9" s="449"/>
      <c r="X9" s="449"/>
      <c r="Y9" s="449"/>
      <c r="Z9" s="449"/>
    </row>
    <row r="10">
      <c r="U10" s="449"/>
      <c r="V10" s="449"/>
      <c r="W10" s="449"/>
      <c r="X10" s="449"/>
      <c r="Y10" s="449"/>
      <c r="Z10" s="449"/>
    </row>
    <row r="11">
      <c r="B11" s="466" t="s">
        <v>151</v>
      </c>
      <c r="C11" s="445" t="s">
        <v>111</v>
      </c>
      <c r="D11" s="446" t="s">
        <v>152</v>
      </c>
      <c r="E11" s="446" t="s">
        <v>153</v>
      </c>
      <c r="F11" s="446" t="s">
        <v>154</v>
      </c>
      <c r="G11" s="446" t="s">
        <v>155</v>
      </c>
      <c r="H11" s="446" t="s">
        <v>156</v>
      </c>
      <c r="I11" s="446" t="s">
        <v>157</v>
      </c>
    </row>
    <row r="12">
      <c r="B12" s="177" t="s">
        <v>158</v>
      </c>
      <c r="C12" s="493" t="s">
        <v>117</v>
      </c>
      <c r="D12" s="468">
        <v>2.0</v>
      </c>
      <c r="E12" s="494">
        <v>5.0</v>
      </c>
      <c r="F12" s="495" t="s">
        <v>159</v>
      </c>
      <c r="G12" s="468">
        <v>0.0</v>
      </c>
      <c r="H12" s="495">
        <v>5.0</v>
      </c>
      <c r="I12" s="468">
        <v>2.0</v>
      </c>
    </row>
    <row r="13">
      <c r="B13" s="177" t="s">
        <v>160</v>
      </c>
      <c r="C13" s="493" t="s">
        <v>119</v>
      </c>
      <c r="D13" s="468">
        <v>4.0</v>
      </c>
      <c r="E13" s="494">
        <v>3.0</v>
      </c>
      <c r="F13" s="495">
        <v>1.0</v>
      </c>
      <c r="G13" s="468">
        <v>1.0</v>
      </c>
      <c r="H13" s="496">
        <v>3.67</v>
      </c>
      <c r="I13" s="468">
        <v>3.0</v>
      </c>
    </row>
    <row r="14">
      <c r="C14" s="493" t="s">
        <v>161</v>
      </c>
      <c r="D14" s="468">
        <v>6.0</v>
      </c>
      <c r="E14" s="475">
        <v>4.33</v>
      </c>
      <c r="F14" s="495" t="s">
        <v>159</v>
      </c>
      <c r="G14" s="468">
        <v>0.0</v>
      </c>
      <c r="H14" s="496">
        <v>4.33</v>
      </c>
      <c r="I14" s="468">
        <v>6.0</v>
      </c>
    </row>
    <row r="15">
      <c r="C15" s="493" t="s">
        <v>118</v>
      </c>
      <c r="D15" s="468">
        <v>9.0</v>
      </c>
      <c r="E15" s="475">
        <v>4.67</v>
      </c>
      <c r="F15" s="495">
        <v>4.0</v>
      </c>
      <c r="G15" s="468">
        <v>1.0</v>
      </c>
      <c r="H15" s="496">
        <v>4.75</v>
      </c>
      <c r="I15" s="468">
        <v>8.0</v>
      </c>
    </row>
    <row r="16">
      <c r="C16" s="493" t="s">
        <v>121</v>
      </c>
      <c r="D16" s="468">
        <v>15.0</v>
      </c>
      <c r="E16" s="475">
        <v>4.47</v>
      </c>
      <c r="F16" s="495" t="s">
        <v>159</v>
      </c>
      <c r="G16" s="468">
        <v>0.0</v>
      </c>
      <c r="H16" s="496">
        <v>4.47</v>
      </c>
      <c r="I16" s="468">
        <v>15.0</v>
      </c>
    </row>
    <row r="17">
      <c r="C17" s="445" t="s">
        <v>162</v>
      </c>
      <c r="D17" s="497">
        <f>SUM(D12:D16)</f>
        <v>36</v>
      </c>
      <c r="E17" s="498">
        <f t="shared" ref="E17:F17" si="3">AVERAGE(E12:E16)</f>
        <v>4.294</v>
      </c>
      <c r="F17" s="498">
        <f t="shared" si="3"/>
        <v>2.5</v>
      </c>
      <c r="G17" s="445"/>
      <c r="H17" s="498">
        <f>AVERAGE(H12:H16)</f>
        <v>4.444</v>
      </c>
      <c r="I17" s="445"/>
    </row>
    <row r="19">
      <c r="B19" s="466" t="s">
        <v>163</v>
      </c>
      <c r="C19" s="445" t="s">
        <v>111</v>
      </c>
      <c r="D19" s="446" t="s">
        <v>152</v>
      </c>
      <c r="E19" s="446" t="s">
        <v>153</v>
      </c>
      <c r="F19" s="446" t="s">
        <v>164</v>
      </c>
      <c r="G19" s="446" t="s">
        <v>165</v>
      </c>
      <c r="H19" s="446" t="s">
        <v>166</v>
      </c>
      <c r="I19" s="445" t="s">
        <v>167</v>
      </c>
    </row>
    <row r="20">
      <c r="B20" s="177" t="s">
        <v>158</v>
      </c>
      <c r="C20" s="493" t="s">
        <v>117</v>
      </c>
      <c r="D20" s="468">
        <v>19.0</v>
      </c>
      <c r="E20" s="499">
        <v>4.0</v>
      </c>
      <c r="F20" s="496">
        <v>4.73</v>
      </c>
      <c r="G20" s="496">
        <v>4.0</v>
      </c>
      <c r="H20" s="468" t="s">
        <v>159</v>
      </c>
      <c r="I20" s="500">
        <v>0.0405</v>
      </c>
    </row>
    <row r="21" ht="15.75" customHeight="1">
      <c r="B21" s="177" t="s">
        <v>168</v>
      </c>
      <c r="C21" s="493" t="s">
        <v>119</v>
      </c>
      <c r="D21" s="468">
        <v>107.0</v>
      </c>
      <c r="E21" s="499">
        <v>4.5</v>
      </c>
      <c r="F21" s="496">
        <v>4.59</v>
      </c>
      <c r="G21" s="496">
        <v>4.25</v>
      </c>
      <c r="H21" s="468" t="s">
        <v>159</v>
      </c>
      <c r="I21" s="500">
        <v>0.0264</v>
      </c>
    </row>
    <row r="22" ht="15.75" customHeight="1">
      <c r="C22" s="493" t="s">
        <v>161</v>
      </c>
      <c r="D22" s="468">
        <v>66.0</v>
      </c>
      <c r="E22" s="499">
        <v>4.3</v>
      </c>
      <c r="F22" s="496">
        <v>4.69</v>
      </c>
      <c r="G22" s="496">
        <v>3.97</v>
      </c>
      <c r="H22" s="468" t="s">
        <v>159</v>
      </c>
      <c r="I22" s="500">
        <v>0.0315</v>
      </c>
    </row>
    <row r="23" ht="15.75" customHeight="1">
      <c r="C23" s="493" t="s">
        <v>118</v>
      </c>
      <c r="D23" s="468">
        <v>40.0</v>
      </c>
      <c r="E23" s="499">
        <v>4.4</v>
      </c>
      <c r="F23" s="496">
        <v>4.57</v>
      </c>
      <c r="G23" s="496">
        <v>4.31</v>
      </c>
      <c r="H23" s="468" t="s">
        <v>159</v>
      </c>
      <c r="I23" s="500">
        <v>0.0315</v>
      </c>
    </row>
    <row r="24" ht="15.75" customHeight="1">
      <c r="C24" s="493" t="s">
        <v>121</v>
      </c>
      <c r="D24" s="468">
        <v>49.0</v>
      </c>
      <c r="E24" s="499">
        <v>4.3</v>
      </c>
      <c r="F24" s="496">
        <v>4.61</v>
      </c>
      <c r="G24" s="496">
        <v>4.19</v>
      </c>
      <c r="H24" s="468" t="s">
        <v>159</v>
      </c>
      <c r="I24" s="500">
        <v>0.045</v>
      </c>
    </row>
    <row r="25" ht="15.75" customHeight="1">
      <c r="C25" s="445" t="s">
        <v>162</v>
      </c>
      <c r="D25" s="497">
        <f>SUM(D20:D24)</f>
        <v>281</v>
      </c>
      <c r="E25" s="498">
        <f>AVERAGE(E20:E24)</f>
        <v>4.3</v>
      </c>
      <c r="F25" s="501"/>
      <c r="G25" s="501"/>
      <c r="H25" s="445"/>
      <c r="I25" s="502">
        <v>0.03498</v>
      </c>
    </row>
    <row r="26" ht="15.75" customHeight="1"/>
    <row r="27" ht="15.75" customHeight="1">
      <c r="B27" s="177" t="s">
        <v>142</v>
      </c>
    </row>
    <row r="28" ht="15.75" customHeight="1">
      <c r="C28" s="503" t="s">
        <v>143</v>
      </c>
      <c r="D28" s="479"/>
      <c r="E28" s="503" t="s">
        <v>144</v>
      </c>
      <c r="F28" s="479"/>
      <c r="G28" s="486"/>
      <c r="H28" s="486"/>
      <c r="I28" s="486" t="s">
        <v>169</v>
      </c>
      <c r="J28" s="486" t="s">
        <v>170</v>
      </c>
    </row>
    <row r="29" ht="15.75" customHeight="1">
      <c r="B29" s="445" t="s">
        <v>111</v>
      </c>
      <c r="C29" s="446" t="s">
        <v>171</v>
      </c>
      <c r="D29" s="446" t="s">
        <v>172</v>
      </c>
      <c r="E29" s="446" t="s">
        <v>171</v>
      </c>
      <c r="F29" s="446" t="s">
        <v>172</v>
      </c>
      <c r="G29" s="446" t="s">
        <v>145</v>
      </c>
      <c r="H29" s="446" t="s">
        <v>146</v>
      </c>
      <c r="I29" s="449"/>
      <c r="J29" s="449"/>
    </row>
    <row r="30" ht="15.75" customHeight="1">
      <c r="B30" s="445" t="s">
        <v>121</v>
      </c>
      <c r="C30" s="468" t="s">
        <v>173</v>
      </c>
      <c r="D30" s="468">
        <v>214.0</v>
      </c>
      <c r="E30" s="504" t="s">
        <v>174</v>
      </c>
      <c r="F30" s="476">
        <v>374.0</v>
      </c>
      <c r="G30" s="476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76">
        <f t="shared" ref="H30:H35" si="5">VALUE(LEFT(G30,FIND("min",G30)-1)) + VALUE(MID(G30,FIND("min",G30)+4,FIND("sec",G30)-FIND("min",G30)-4))/100</f>
        <v>2.03</v>
      </c>
      <c r="I30" s="449"/>
      <c r="J30" s="449"/>
    </row>
    <row r="31" ht="15.75" customHeight="1">
      <c r="B31" s="445" t="s">
        <v>117</v>
      </c>
      <c r="C31" s="468" t="s">
        <v>175</v>
      </c>
      <c r="D31" s="468">
        <v>361.0</v>
      </c>
      <c r="E31" s="504" t="s">
        <v>176</v>
      </c>
      <c r="F31" s="476">
        <v>263.0</v>
      </c>
      <c r="G31" s="476" t="str">
        <f t="shared" si="4"/>
        <v>0 min 57 sec</v>
      </c>
      <c r="H31" s="476">
        <f t="shared" si="5"/>
        <v>0.57</v>
      </c>
      <c r="I31" s="449"/>
      <c r="J31" s="449"/>
    </row>
    <row r="32" ht="15.75" customHeight="1">
      <c r="B32" s="445" t="s">
        <v>119</v>
      </c>
      <c r="C32" s="468" t="s">
        <v>177</v>
      </c>
      <c r="D32" s="468">
        <v>784.0</v>
      </c>
      <c r="E32" s="468" t="s">
        <v>178</v>
      </c>
      <c r="F32" s="476">
        <v>761.0</v>
      </c>
      <c r="G32" s="476" t="str">
        <f t="shared" si="4"/>
        <v>0 min 59 sec</v>
      </c>
      <c r="H32" s="476">
        <f t="shared" si="5"/>
        <v>0.59</v>
      </c>
      <c r="I32" s="449"/>
      <c r="J32" s="449"/>
    </row>
    <row r="33" ht="15.75" customHeight="1">
      <c r="B33" s="445" t="s">
        <v>120</v>
      </c>
      <c r="C33" s="468" t="s">
        <v>179</v>
      </c>
      <c r="D33" s="468">
        <v>439.0</v>
      </c>
      <c r="E33" s="468" t="s">
        <v>180</v>
      </c>
      <c r="F33" s="476">
        <v>483.0</v>
      </c>
      <c r="G33" s="476" t="str">
        <f t="shared" si="4"/>
        <v>1 min 14 sec</v>
      </c>
      <c r="H33" s="476">
        <f t="shared" si="5"/>
        <v>1.14</v>
      </c>
      <c r="I33" s="449"/>
      <c r="J33" s="449"/>
    </row>
    <row r="34" ht="15.75" customHeight="1">
      <c r="B34" s="445" t="s">
        <v>118</v>
      </c>
      <c r="C34" s="468" t="s">
        <v>181</v>
      </c>
      <c r="D34" s="468">
        <v>156.0</v>
      </c>
      <c r="E34" s="468" t="s">
        <v>182</v>
      </c>
      <c r="F34" s="505">
        <v>382.0</v>
      </c>
      <c r="G34" s="476" t="str">
        <f t="shared" si="4"/>
        <v>1 min 48 sec</v>
      </c>
      <c r="H34" s="476">
        <f t="shared" si="5"/>
        <v>1.48</v>
      </c>
      <c r="I34" s="506"/>
      <c r="J34" s="506"/>
    </row>
    <row r="35" ht="15.75" customHeight="1">
      <c r="B35" s="445" t="s">
        <v>122</v>
      </c>
      <c r="C35" s="446" t="s">
        <v>183</v>
      </c>
      <c r="D35" s="472">
        <f>sum(D30:D34)</f>
        <v>1954</v>
      </c>
      <c r="E35" s="446" t="s">
        <v>184</v>
      </c>
      <c r="F35" s="472">
        <f>SUM(F30:F34)</f>
        <v>2263</v>
      </c>
      <c r="G35" s="446" t="str">
        <f t="shared" si="4"/>
        <v>1 min 19 sec</v>
      </c>
      <c r="H35" s="446">
        <f t="shared" si="5"/>
        <v>1.19</v>
      </c>
      <c r="I35" s="449"/>
      <c r="J35" s="449"/>
    </row>
    <row r="36" ht="15.75" customHeight="1">
      <c r="F36" s="486" t="s">
        <v>185</v>
      </c>
      <c r="G36" s="486" t="s">
        <v>186</v>
      </c>
      <c r="H36" s="486"/>
      <c r="I36" s="486" t="s">
        <v>169</v>
      </c>
      <c r="J36" s="486" t="s">
        <v>170</v>
      </c>
    </row>
    <row r="37" ht="15.75" customHeight="1">
      <c r="F37" s="449"/>
      <c r="G37" s="449"/>
      <c r="H37" s="449"/>
      <c r="I37" s="449"/>
      <c r="J37" s="449"/>
    </row>
    <row r="38" ht="15.75" customHeight="1">
      <c r="F38" s="449"/>
      <c r="G38" s="449"/>
      <c r="H38" s="449"/>
      <c r="I38" s="449"/>
      <c r="J38" s="449"/>
    </row>
    <row r="39" ht="15.75" customHeight="1">
      <c r="F39" s="449"/>
      <c r="G39" s="449"/>
      <c r="H39" s="449"/>
      <c r="I39" s="449"/>
      <c r="J39" s="449"/>
    </row>
    <row r="40" ht="15.75" customHeight="1">
      <c r="F40" s="449"/>
      <c r="G40" s="449"/>
      <c r="H40" s="449"/>
      <c r="I40" s="449"/>
      <c r="J40" s="449"/>
    </row>
    <row r="41" ht="15.75" customHeight="1">
      <c r="F41" s="449"/>
      <c r="G41" s="449"/>
      <c r="H41" s="449"/>
      <c r="I41" s="449"/>
      <c r="J41" s="449"/>
    </row>
    <row r="42" ht="15.75" customHeight="1">
      <c r="F42" s="506"/>
      <c r="G42" s="506"/>
      <c r="H42" s="506"/>
      <c r="I42" s="506"/>
      <c r="J42" s="506"/>
    </row>
    <row r="43" ht="15.75" customHeight="1">
      <c r="F43" s="449"/>
      <c r="G43" s="449"/>
      <c r="H43" s="449"/>
      <c r="I43" s="449"/>
      <c r="J43" s="44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49"/>
      <c r="C1" s="449"/>
      <c r="D1" s="449"/>
      <c r="E1" s="449"/>
      <c r="F1" s="449"/>
      <c r="G1" s="449"/>
      <c r="U1" s="449"/>
      <c r="V1" s="449"/>
      <c r="W1" s="449"/>
      <c r="X1" s="449"/>
      <c r="Y1" s="449"/>
    </row>
    <row r="2">
      <c r="B2" s="445" t="s">
        <v>187</v>
      </c>
      <c r="C2" s="446" t="s">
        <v>9</v>
      </c>
      <c r="D2" s="446" t="s">
        <v>188</v>
      </c>
      <c r="E2" s="446" t="s">
        <v>189</v>
      </c>
      <c r="F2" s="447" t="s">
        <v>190</v>
      </c>
      <c r="G2" s="446" t="s">
        <v>191</v>
      </c>
      <c r="H2" s="446" t="s">
        <v>192</v>
      </c>
      <c r="I2" s="446" t="s">
        <v>193</v>
      </c>
      <c r="J2" s="446" t="s">
        <v>194</v>
      </c>
      <c r="K2" s="446" t="s">
        <v>195</v>
      </c>
      <c r="L2" s="446" t="s">
        <v>196</v>
      </c>
      <c r="M2" s="446" t="s">
        <v>197</v>
      </c>
      <c r="N2" s="464" t="s">
        <v>198</v>
      </c>
      <c r="O2" s="446" t="s">
        <v>199</v>
      </c>
      <c r="P2" s="446" t="s">
        <v>200</v>
      </c>
      <c r="Q2" s="446" t="s">
        <v>201</v>
      </c>
      <c r="R2" s="446" t="s">
        <v>202</v>
      </c>
      <c r="S2" s="446" t="s">
        <v>147</v>
      </c>
      <c r="T2" s="446" t="s">
        <v>148</v>
      </c>
      <c r="U2" s="446" t="s">
        <v>149</v>
      </c>
      <c r="V2" s="446" t="s">
        <v>150</v>
      </c>
      <c r="W2" s="486"/>
      <c r="X2" s="449"/>
      <c r="Y2" s="487"/>
      <c r="AA2" s="449"/>
    </row>
    <row r="3">
      <c r="B3" s="488" t="s">
        <v>117</v>
      </c>
      <c r="C3" s="451" t="str">
        <f>IFERROR(__xludf.DUMMYFUNCTION("IMPORTRANGE(""https://docs.google.com/spreadsheets/d/1TW_RsaigtJP9yoaGaPBfE07-92H6VNOYrHbLByvNJmg/edit?gid=1646739031#gid=1646739031"",""Revenue Q4!D8:D13"")"),"#REF!")</f>
        <v>#REF!</v>
      </c>
      <c r="D3" s="451" t="str">
        <f>IFERROR(__xludf.DUMMYFUNCTION("IMPORTRANGE(""https://docs.google.com/spreadsheets/d/1TW_RsaigtJP9yoaGaPBfE07-92H6VNOYrHbLByvNJmg/edit?gid=1646739031#gid=1646739031"",""Revenue Q4!I8:I13"")"),"#REF!")</f>
        <v>#REF!</v>
      </c>
      <c r="E3" s="452" t="str">
        <f t="shared" ref="E3:E8" si="1">C3-D3</f>
        <v>#REF!</v>
      </c>
      <c r="F3" s="489" t="str">
        <f t="shared" ref="F3:F8" si="2">E3/D3</f>
        <v>#REF!</v>
      </c>
      <c r="G3" s="451" t="str">
        <f>IFERROR(__xludf.DUMMYFUNCTION("IMPORTRANGE(""https://docs.google.com/spreadsheets/d/1TW_RsaigtJP9yoaGaPBfE07-92H6VNOYrHbLByvNJmg/edit?gid=1646739031#gid=1646739031"",""Revenue Q4!F8:F13"")"),"#REF!")</f>
        <v>#REF!</v>
      </c>
      <c r="H3" s="452" t="str">
        <f t="shared" ref="H3:H8" si="3">C3-G3</f>
        <v>#REF!</v>
      </c>
      <c r="I3" s="489" t="str">
        <f t="shared" ref="I3:I8" si="4">H3/G3</f>
        <v>#REF!</v>
      </c>
      <c r="J3" s="454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54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07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54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54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54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54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54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54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52" t="str">
        <f>IFERROR(__xludf.DUMMYFUNCTION("IMPORTRANGE(""https://docs.google.com/spreadsheets/d/1TW_RsaigtJP9yoaGaPBfE07-92H6VNOYrHbLByvNJmg/edit?gid=1646739031#gid=1646739031"",""Q4 EBIDTA!B7:B12"")"),"#REF!")</f>
        <v>#REF!</v>
      </c>
      <c r="T3" s="452" t="str">
        <f>IFERROR(__xludf.DUMMYFUNCTION("IMPORTRANGE(""https://docs.google.com/spreadsheets/d/1TW_RsaigtJP9yoaGaPBfE07-92H6VNOYrHbLByvNJmg/edit?gid=1646739031#gid=1646739031"",""Q4 EBIDTA!C7:C12"")"),"#REF!")</f>
        <v>#REF!</v>
      </c>
      <c r="U3" s="452" t="str">
        <f>IFERROR(__xludf.DUMMYFUNCTION("IMPORTRANGE(""https://docs.google.com/spreadsheets/d/1TW_RsaigtJP9yoaGaPBfE07-92H6VNOYrHbLByvNJmg/edit?gid=1646739031#gid=1646739031"",""Q4 EBIDTA!D7:D12"")"),"#REF!")</f>
        <v>#REF!</v>
      </c>
      <c r="V3" s="507" t="str">
        <f>IFERROR(__xludf.DUMMYFUNCTION("IMPORTRANGE(""https://docs.google.com/spreadsheets/d/1TW_RsaigtJP9yoaGaPBfE07-92H6VNOYrHbLByvNJmg/edit?gid=1646739031#gid=1646739031"",""Q4 EBIDTA!E7:E12"")"),"#REF!")</f>
        <v>#REF!</v>
      </c>
      <c r="W3" s="448"/>
      <c r="X3" s="448"/>
      <c r="Y3" s="481"/>
      <c r="AA3" s="486"/>
    </row>
    <row r="4">
      <c r="B4" s="488" t="s">
        <v>118</v>
      </c>
      <c r="C4" s="451"/>
      <c r="D4" s="451"/>
      <c r="E4" s="452">
        <f t="shared" si="1"/>
        <v>0</v>
      </c>
      <c r="F4" s="489" t="str">
        <f t="shared" si="2"/>
        <v>#DIV/0!</v>
      </c>
      <c r="G4" s="451"/>
      <c r="H4" s="452">
        <f t="shared" si="3"/>
        <v>0</v>
      </c>
      <c r="I4" s="489" t="str">
        <f t="shared" si="4"/>
        <v>#DIV/0!</v>
      </c>
      <c r="J4" s="454"/>
      <c r="K4" s="454"/>
      <c r="L4" s="507"/>
      <c r="M4" s="454"/>
      <c r="N4" s="454"/>
      <c r="O4" s="454"/>
      <c r="P4" s="454"/>
      <c r="Q4" s="454"/>
      <c r="R4" s="454"/>
      <c r="S4" s="452"/>
      <c r="T4" s="452"/>
      <c r="U4" s="452"/>
      <c r="V4" s="507"/>
      <c r="W4" s="457"/>
      <c r="X4" s="492"/>
      <c r="Y4" s="484"/>
      <c r="AA4" s="449"/>
    </row>
    <row r="5">
      <c r="B5" s="488" t="s">
        <v>119</v>
      </c>
      <c r="C5" s="451"/>
      <c r="D5" s="451"/>
      <c r="E5" s="452">
        <f t="shared" si="1"/>
        <v>0</v>
      </c>
      <c r="F5" s="489" t="str">
        <f t="shared" si="2"/>
        <v>#DIV/0!</v>
      </c>
      <c r="G5" s="451"/>
      <c r="H5" s="452">
        <f t="shared" si="3"/>
        <v>0</v>
      </c>
      <c r="I5" s="489" t="str">
        <f t="shared" si="4"/>
        <v>#DIV/0!</v>
      </c>
      <c r="J5" s="454"/>
      <c r="K5" s="454"/>
      <c r="L5" s="507"/>
      <c r="M5" s="454"/>
      <c r="N5" s="454"/>
      <c r="O5" s="454"/>
      <c r="P5" s="454"/>
      <c r="Q5" s="454"/>
      <c r="R5" s="454"/>
      <c r="S5" s="452"/>
      <c r="T5" s="452"/>
      <c r="U5" s="452"/>
      <c r="V5" s="507"/>
      <c r="W5" s="457"/>
      <c r="X5" s="492"/>
      <c r="Y5" s="484"/>
      <c r="AA5" s="449"/>
    </row>
    <row r="6">
      <c r="B6" s="488" t="s">
        <v>120</v>
      </c>
      <c r="C6" s="451"/>
      <c r="D6" s="451"/>
      <c r="E6" s="452">
        <f t="shared" si="1"/>
        <v>0</v>
      </c>
      <c r="F6" s="489" t="str">
        <f t="shared" si="2"/>
        <v>#DIV/0!</v>
      </c>
      <c r="G6" s="451"/>
      <c r="H6" s="452">
        <f t="shared" si="3"/>
        <v>0</v>
      </c>
      <c r="I6" s="489" t="str">
        <f t="shared" si="4"/>
        <v>#DIV/0!</v>
      </c>
      <c r="J6" s="454"/>
      <c r="K6" s="454"/>
      <c r="L6" s="507"/>
      <c r="M6" s="454"/>
      <c r="N6" s="454"/>
      <c r="O6" s="454"/>
      <c r="P6" s="454"/>
      <c r="Q6" s="454"/>
      <c r="R6" s="454"/>
      <c r="S6" s="452"/>
      <c r="T6" s="452"/>
      <c r="U6" s="452"/>
      <c r="V6" s="507"/>
      <c r="W6" s="457"/>
      <c r="X6" s="492"/>
      <c r="Y6" s="484"/>
      <c r="AA6" s="449"/>
    </row>
    <row r="7">
      <c r="B7" s="488" t="s">
        <v>121</v>
      </c>
      <c r="C7" s="451"/>
      <c r="D7" s="451"/>
      <c r="E7" s="452">
        <f t="shared" si="1"/>
        <v>0</v>
      </c>
      <c r="F7" s="489" t="str">
        <f t="shared" si="2"/>
        <v>#DIV/0!</v>
      </c>
      <c r="G7" s="451"/>
      <c r="H7" s="452">
        <f t="shared" si="3"/>
        <v>0</v>
      </c>
      <c r="I7" s="489" t="str">
        <f t="shared" si="4"/>
        <v>#DIV/0!</v>
      </c>
      <c r="J7" s="454"/>
      <c r="K7" s="454"/>
      <c r="L7" s="507"/>
      <c r="M7" s="454"/>
      <c r="N7" s="454"/>
      <c r="O7" s="454"/>
      <c r="P7" s="454"/>
      <c r="Q7" s="454"/>
      <c r="R7" s="454"/>
      <c r="S7" s="452"/>
      <c r="T7" s="452"/>
      <c r="U7" s="452"/>
      <c r="V7" s="507"/>
      <c r="W7" s="457"/>
      <c r="X7" s="492"/>
      <c r="Y7" s="484"/>
      <c r="AA7" s="449"/>
    </row>
    <row r="8">
      <c r="B8" s="459" t="s">
        <v>203</v>
      </c>
      <c r="C8" s="460"/>
      <c r="D8" s="460"/>
      <c r="E8" s="462">
        <f t="shared" si="1"/>
        <v>0</v>
      </c>
      <c r="F8" s="447" t="str">
        <f t="shared" si="2"/>
        <v>#DIV/0!</v>
      </c>
      <c r="G8" s="460"/>
      <c r="H8" s="462">
        <f t="shared" si="3"/>
        <v>0</v>
      </c>
      <c r="I8" s="447" t="str">
        <f t="shared" si="4"/>
        <v>#DIV/0!</v>
      </c>
      <c r="J8" s="463"/>
      <c r="K8" s="463"/>
      <c r="L8" s="465"/>
      <c r="M8" s="463"/>
      <c r="N8" s="463"/>
      <c r="O8" s="463"/>
      <c r="P8" s="463"/>
      <c r="Q8" s="463"/>
      <c r="R8" s="463"/>
      <c r="S8" s="462"/>
      <c r="T8" s="462"/>
      <c r="U8" s="462"/>
      <c r="V8" s="465"/>
      <c r="W8" s="457"/>
      <c r="X8" s="492"/>
      <c r="Y8" s="484"/>
      <c r="AA8" s="449"/>
    </row>
    <row r="9">
      <c r="B9" s="449"/>
      <c r="C9" s="449"/>
      <c r="D9" s="449"/>
      <c r="E9" s="449"/>
      <c r="F9" s="449"/>
      <c r="G9" s="449"/>
      <c r="U9" s="449"/>
      <c r="V9" s="449"/>
      <c r="W9" s="449"/>
      <c r="X9" s="449"/>
      <c r="Y9" s="449"/>
    </row>
    <row r="10">
      <c r="U10" s="449"/>
      <c r="V10" s="449"/>
      <c r="W10" s="449"/>
      <c r="X10" s="449"/>
      <c r="Y10" s="449"/>
    </row>
    <row r="11">
      <c r="B11" s="466" t="s">
        <v>151</v>
      </c>
      <c r="C11" s="445" t="s">
        <v>111</v>
      </c>
      <c r="D11" s="446" t="s">
        <v>152</v>
      </c>
      <c r="E11" s="446" t="s">
        <v>153</v>
      </c>
      <c r="F11" s="446" t="s">
        <v>154</v>
      </c>
      <c r="G11" s="446" t="s">
        <v>155</v>
      </c>
      <c r="H11" s="446" t="s">
        <v>156</v>
      </c>
      <c r="I11" s="446" t="s">
        <v>157</v>
      </c>
      <c r="U11" s="449"/>
      <c r="V11" s="449"/>
      <c r="W11" s="449"/>
      <c r="X11" s="449"/>
      <c r="Y11" s="449"/>
    </row>
    <row r="12">
      <c r="B12" s="177" t="s">
        <v>158</v>
      </c>
      <c r="C12" s="493" t="s">
        <v>117</v>
      </c>
      <c r="D12" s="468">
        <v>2.0</v>
      </c>
      <c r="E12" s="494">
        <v>5.0</v>
      </c>
      <c r="F12" s="495" t="s">
        <v>159</v>
      </c>
      <c r="G12" s="468">
        <v>0.0</v>
      </c>
      <c r="H12" s="495">
        <v>5.0</v>
      </c>
      <c r="I12" s="468">
        <v>2.0</v>
      </c>
    </row>
    <row r="13">
      <c r="B13" s="177" t="s">
        <v>160</v>
      </c>
      <c r="C13" s="493" t="s">
        <v>119</v>
      </c>
      <c r="D13" s="468">
        <v>4.0</v>
      </c>
      <c r="E13" s="494">
        <v>3.0</v>
      </c>
      <c r="F13" s="495">
        <v>1.0</v>
      </c>
      <c r="G13" s="468">
        <v>1.0</v>
      </c>
      <c r="H13" s="496">
        <v>3.97</v>
      </c>
      <c r="I13" s="468">
        <v>3.0</v>
      </c>
    </row>
    <row r="14">
      <c r="C14" s="493" t="s">
        <v>161</v>
      </c>
      <c r="D14" s="468">
        <v>6.0</v>
      </c>
      <c r="E14" s="475">
        <v>4.33</v>
      </c>
      <c r="F14" s="495" t="s">
        <v>159</v>
      </c>
      <c r="G14" s="468">
        <v>0.0</v>
      </c>
      <c r="H14" s="496">
        <v>4.33</v>
      </c>
      <c r="I14" s="468">
        <v>6.0</v>
      </c>
    </row>
    <row r="15">
      <c r="C15" s="493" t="s">
        <v>118</v>
      </c>
      <c r="D15" s="468">
        <v>9.0</v>
      </c>
      <c r="E15" s="475">
        <v>4.67</v>
      </c>
      <c r="F15" s="495">
        <v>4.0</v>
      </c>
      <c r="G15" s="468">
        <v>1.0</v>
      </c>
      <c r="H15" s="496">
        <v>4.75</v>
      </c>
      <c r="I15" s="468">
        <v>8.0</v>
      </c>
    </row>
    <row r="16">
      <c r="C16" s="493" t="s">
        <v>121</v>
      </c>
      <c r="D16" s="468">
        <v>15.0</v>
      </c>
      <c r="E16" s="475">
        <v>4.47</v>
      </c>
      <c r="F16" s="495" t="s">
        <v>159</v>
      </c>
      <c r="G16" s="468">
        <v>0.0</v>
      </c>
      <c r="H16" s="496">
        <v>4.47</v>
      </c>
      <c r="I16" s="468">
        <v>15.0</v>
      </c>
    </row>
    <row r="17">
      <c r="C17" s="445" t="s">
        <v>162</v>
      </c>
      <c r="D17" s="508">
        <f>SUM(D12:D16)</f>
        <v>36</v>
      </c>
      <c r="E17" s="509">
        <f t="shared" ref="E17:F17" si="5">AVERAGE(E12:E16)</f>
        <v>4.294</v>
      </c>
      <c r="F17" s="509">
        <f t="shared" si="5"/>
        <v>2.5</v>
      </c>
      <c r="G17" s="510"/>
      <c r="H17" s="509">
        <f>AVERAGE(H12:H16)</f>
        <v>4.504</v>
      </c>
      <c r="I17" s="510"/>
    </row>
    <row r="19">
      <c r="B19" s="466" t="s">
        <v>163</v>
      </c>
      <c r="C19" s="445" t="s">
        <v>111</v>
      </c>
      <c r="D19" s="446" t="s">
        <v>152</v>
      </c>
      <c r="E19" s="446" t="s">
        <v>153</v>
      </c>
      <c r="F19" s="446" t="s">
        <v>164</v>
      </c>
      <c r="G19" s="446" t="s">
        <v>165</v>
      </c>
      <c r="H19" s="446" t="s">
        <v>166</v>
      </c>
      <c r="I19" s="446" t="s">
        <v>167</v>
      </c>
    </row>
    <row r="20">
      <c r="B20" s="177" t="s">
        <v>158</v>
      </c>
      <c r="C20" s="493" t="s">
        <v>117</v>
      </c>
      <c r="D20" s="468">
        <v>19.0</v>
      </c>
      <c r="E20" s="499">
        <v>4.0</v>
      </c>
      <c r="F20" s="496">
        <v>4.73</v>
      </c>
      <c r="G20" s="496">
        <v>4.0</v>
      </c>
      <c r="H20" s="468" t="s">
        <v>159</v>
      </c>
      <c r="I20" s="454">
        <v>0.0405</v>
      </c>
    </row>
    <row r="21" ht="15.75" customHeight="1">
      <c r="B21" s="177" t="s">
        <v>168</v>
      </c>
      <c r="C21" s="493" t="s">
        <v>119</v>
      </c>
      <c r="D21" s="468">
        <v>107.0</v>
      </c>
      <c r="E21" s="499">
        <v>4.5</v>
      </c>
      <c r="F21" s="496">
        <v>4.59</v>
      </c>
      <c r="G21" s="496">
        <v>4.25</v>
      </c>
      <c r="H21" s="468" t="s">
        <v>159</v>
      </c>
      <c r="I21" s="454">
        <v>0.0264</v>
      </c>
    </row>
    <row r="22" ht="15.75" customHeight="1">
      <c r="C22" s="493" t="s">
        <v>161</v>
      </c>
      <c r="D22" s="468">
        <v>66.0</v>
      </c>
      <c r="E22" s="499">
        <v>4.3</v>
      </c>
      <c r="F22" s="496">
        <v>4.69</v>
      </c>
      <c r="G22" s="496">
        <v>3.97</v>
      </c>
      <c r="H22" s="468" t="s">
        <v>159</v>
      </c>
      <c r="I22" s="454">
        <v>0.0315</v>
      </c>
    </row>
    <row r="23" ht="15.75" customHeight="1">
      <c r="C23" s="493" t="s">
        <v>118</v>
      </c>
      <c r="D23" s="468">
        <v>40.0</v>
      </c>
      <c r="E23" s="499">
        <v>4.4</v>
      </c>
      <c r="F23" s="496">
        <v>4.57</v>
      </c>
      <c r="G23" s="496">
        <v>4.31</v>
      </c>
      <c r="H23" s="468" t="s">
        <v>159</v>
      </c>
      <c r="I23" s="454">
        <v>0.0315</v>
      </c>
    </row>
    <row r="24" ht="15.75" customHeight="1">
      <c r="C24" s="493" t="s">
        <v>121</v>
      </c>
      <c r="D24" s="468">
        <v>49.0</v>
      </c>
      <c r="E24" s="499">
        <v>4.3</v>
      </c>
      <c r="F24" s="496">
        <v>4.61</v>
      </c>
      <c r="G24" s="496">
        <v>4.19</v>
      </c>
      <c r="H24" s="468" t="s">
        <v>159</v>
      </c>
      <c r="I24" s="454">
        <v>0.045</v>
      </c>
    </row>
    <row r="25" ht="15.75" customHeight="1">
      <c r="C25" s="445" t="s">
        <v>162</v>
      </c>
      <c r="D25" s="508">
        <f>SUM(D20:D24)</f>
        <v>281</v>
      </c>
      <c r="E25" s="509">
        <f>AVERAGE(E20:E24)</f>
        <v>4.3</v>
      </c>
      <c r="F25" s="511"/>
      <c r="G25" s="511"/>
      <c r="H25" s="510"/>
      <c r="I25" s="512">
        <f>AVERAGE(I20:I24)</f>
        <v>0.03498</v>
      </c>
    </row>
    <row r="26" ht="15.75" customHeight="1"/>
    <row r="27" ht="15.75" customHeight="1">
      <c r="B27" s="177" t="s">
        <v>142</v>
      </c>
    </row>
    <row r="28" ht="15.75" customHeight="1">
      <c r="C28" s="503" t="s">
        <v>143</v>
      </c>
      <c r="D28" s="479"/>
      <c r="E28" s="503" t="s">
        <v>144</v>
      </c>
      <c r="F28" s="479"/>
      <c r="G28" s="486"/>
      <c r="H28" s="486"/>
      <c r="I28" s="486" t="s">
        <v>169</v>
      </c>
      <c r="J28" s="486" t="s">
        <v>170</v>
      </c>
    </row>
    <row r="29" ht="15.75" customHeight="1">
      <c r="B29" s="445" t="s">
        <v>111</v>
      </c>
      <c r="C29" s="445" t="s">
        <v>171</v>
      </c>
      <c r="D29" s="445" t="s">
        <v>172</v>
      </c>
      <c r="E29" s="445" t="s">
        <v>171</v>
      </c>
      <c r="F29" s="445" t="s">
        <v>172</v>
      </c>
      <c r="G29" s="445" t="s">
        <v>145</v>
      </c>
      <c r="H29" s="445" t="s">
        <v>146</v>
      </c>
      <c r="I29" s="449"/>
      <c r="J29" s="449"/>
    </row>
    <row r="30" ht="15.75" customHeight="1">
      <c r="B30" s="488" t="s">
        <v>121</v>
      </c>
      <c r="C30" s="468" t="s">
        <v>173</v>
      </c>
      <c r="D30" s="468">
        <v>214.0</v>
      </c>
      <c r="E30" s="504" t="s">
        <v>174</v>
      </c>
      <c r="F30" s="476">
        <v>374.0</v>
      </c>
      <c r="G30" s="513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13">
        <f t="shared" ref="H30:H35" si="7">VALUE(LEFT(G30,FIND("min",G30)-1)) + VALUE(MID(G30,FIND("min",G30)+4,FIND("sec",G30)-FIND("min",G30)-4))/100</f>
        <v>2.03</v>
      </c>
      <c r="I30" s="449"/>
      <c r="J30" s="449"/>
    </row>
    <row r="31" ht="15.75" customHeight="1">
      <c r="B31" s="488" t="s">
        <v>117</v>
      </c>
      <c r="C31" s="468" t="s">
        <v>175</v>
      </c>
      <c r="D31" s="468">
        <v>361.0</v>
      </c>
      <c r="E31" s="504" t="s">
        <v>176</v>
      </c>
      <c r="F31" s="476">
        <v>263.0</v>
      </c>
      <c r="G31" s="513" t="str">
        <f t="shared" si="6"/>
        <v>0 min 57 sec</v>
      </c>
      <c r="H31" s="513">
        <f t="shared" si="7"/>
        <v>0.57</v>
      </c>
      <c r="I31" s="449"/>
      <c r="J31" s="449"/>
    </row>
    <row r="32" ht="15.75" customHeight="1">
      <c r="B32" s="488" t="s">
        <v>119</v>
      </c>
      <c r="C32" s="468" t="s">
        <v>177</v>
      </c>
      <c r="D32" s="468">
        <v>784.0</v>
      </c>
      <c r="E32" s="468" t="s">
        <v>178</v>
      </c>
      <c r="F32" s="476">
        <v>761.0</v>
      </c>
      <c r="G32" s="513" t="str">
        <f t="shared" si="6"/>
        <v>0 min 59 sec</v>
      </c>
      <c r="H32" s="513">
        <f t="shared" si="7"/>
        <v>0.59</v>
      </c>
      <c r="I32" s="449"/>
      <c r="J32" s="449"/>
    </row>
    <row r="33" ht="15.75" customHeight="1">
      <c r="B33" s="488" t="s">
        <v>120</v>
      </c>
      <c r="C33" s="468" t="s">
        <v>179</v>
      </c>
      <c r="D33" s="468">
        <v>439.0</v>
      </c>
      <c r="E33" s="468" t="s">
        <v>180</v>
      </c>
      <c r="F33" s="476">
        <v>483.0</v>
      </c>
      <c r="G33" s="513" t="str">
        <f t="shared" si="6"/>
        <v>1 min 14 sec</v>
      </c>
      <c r="H33" s="513">
        <f t="shared" si="7"/>
        <v>1.14</v>
      </c>
      <c r="I33" s="449"/>
      <c r="J33" s="449"/>
    </row>
    <row r="34" ht="15.75" customHeight="1">
      <c r="B34" s="488" t="s">
        <v>118</v>
      </c>
      <c r="C34" s="468" t="s">
        <v>181</v>
      </c>
      <c r="D34" s="468">
        <v>156.0</v>
      </c>
      <c r="E34" s="468" t="s">
        <v>182</v>
      </c>
      <c r="F34" s="505">
        <v>382.0</v>
      </c>
      <c r="G34" s="513" t="str">
        <f t="shared" si="6"/>
        <v>1 min 48 sec</v>
      </c>
      <c r="H34" s="513">
        <f t="shared" si="7"/>
        <v>1.48</v>
      </c>
      <c r="I34" s="506"/>
      <c r="J34" s="506"/>
    </row>
    <row r="35" ht="15.75" customHeight="1">
      <c r="B35" s="445" t="s">
        <v>122</v>
      </c>
      <c r="C35" s="446" t="s">
        <v>183</v>
      </c>
      <c r="D35" s="472">
        <f>sum(D30:D34)</f>
        <v>1954</v>
      </c>
      <c r="E35" s="446" t="s">
        <v>184</v>
      </c>
      <c r="F35" s="472">
        <f>SUM(F30:F34)</f>
        <v>2263</v>
      </c>
      <c r="G35" s="445" t="str">
        <f t="shared" si="6"/>
        <v>1 min 19 sec</v>
      </c>
      <c r="H35" s="445">
        <f t="shared" si="7"/>
        <v>1.19</v>
      </c>
      <c r="I35" s="449"/>
      <c r="J35" s="449"/>
    </row>
    <row r="36" ht="15.75" customHeight="1">
      <c r="F36" s="486" t="s">
        <v>185</v>
      </c>
      <c r="G36" s="486" t="s">
        <v>186</v>
      </c>
      <c r="H36" s="486" t="s">
        <v>204</v>
      </c>
      <c r="I36" s="486" t="s">
        <v>169</v>
      </c>
      <c r="J36" s="486" t="s">
        <v>170</v>
      </c>
    </row>
    <row r="37" ht="15.75" customHeight="1">
      <c r="F37" s="449"/>
      <c r="G37" s="449"/>
      <c r="H37" s="449"/>
      <c r="I37" s="449"/>
      <c r="J37" s="449"/>
    </row>
    <row r="38" ht="15.75" customHeight="1">
      <c r="F38" s="449"/>
      <c r="G38" s="449"/>
      <c r="H38" s="449"/>
      <c r="I38" s="449"/>
      <c r="J38" s="449"/>
    </row>
    <row r="39" ht="15.75" customHeight="1">
      <c r="F39" s="449"/>
      <c r="G39" s="449"/>
      <c r="H39" s="449"/>
      <c r="I39" s="449"/>
      <c r="J39" s="449"/>
    </row>
    <row r="40" ht="15.75" customHeight="1">
      <c r="F40" s="449"/>
      <c r="G40" s="449"/>
      <c r="H40" s="449"/>
      <c r="I40" s="449"/>
      <c r="J40" s="449"/>
    </row>
    <row r="41" ht="15.75" customHeight="1">
      <c r="F41" s="449"/>
      <c r="G41" s="449"/>
      <c r="H41" s="449"/>
      <c r="I41" s="449"/>
      <c r="J41" s="449"/>
    </row>
    <row r="42" ht="15.75" customHeight="1">
      <c r="F42" s="506"/>
      <c r="G42" s="506"/>
      <c r="H42" s="506"/>
      <c r="I42" s="506"/>
      <c r="J42" s="506"/>
    </row>
    <row r="43" ht="15.75" customHeight="1">
      <c r="F43" s="449"/>
      <c r="G43" s="449"/>
      <c r="H43" s="449"/>
      <c r="I43" s="449"/>
      <c r="J43" s="44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8:D28"/>
    <mergeCell ref="E28:F28"/>
  </mergeCells>
  <drawing r:id="rId1"/>
</worksheet>
</file>